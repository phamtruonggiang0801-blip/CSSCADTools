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MAC PROJECT\7. 1112470WD GUANGZHOW - EMC 24000 TEU CC\Dtmes Work\Weight Calculation\"/>
    </mc:Choice>
  </mc:AlternateContent>
  <xr:revisionPtr revIDLastSave="0" documentId="13_ncr:1_{FFAFA27B-8840-4A60-83E2-D0CD84C82973}" xr6:coauthVersionLast="47" xr6:coauthVersionMax="47" xr10:uidLastSave="{00000000-0000-0000-0000-000000000000}"/>
  <bookViews>
    <workbookView xWindow="-120" yWindow="-120" windowWidth="38640" windowHeight="21120" tabRatio="346" xr2:uid="{00000000-000D-0000-FFFF-FFFF00000000}"/>
  </bookViews>
  <sheets>
    <sheet name="piirluet" sheetId="1" r:id="rId1"/>
    <sheet name="Sheet1" sheetId="2" state="hidden" r:id="rId2"/>
  </sheets>
  <definedNames>
    <definedName name="_xlnm.Print_Area" localSheetId="0">piirluet!$A$1:$AB$90</definedName>
    <definedName name="_xlnm.Print_Titles" localSheetId="0">piirluet!$10:$12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B85" i="1" l="1"/>
  <c r="AB84" i="1"/>
  <c r="AB83" i="1"/>
  <c r="AB82" i="1"/>
  <c r="AB81" i="1"/>
  <c r="AB80" i="1"/>
  <c r="AB79" i="1"/>
  <c r="AB76" i="1"/>
  <c r="AB75" i="1"/>
  <c r="AB74" i="1"/>
  <c r="AB73" i="1"/>
  <c r="AB72" i="1"/>
  <c r="AB71" i="1"/>
  <c r="AB70" i="1"/>
  <c r="AB66" i="1"/>
  <c r="AB65" i="1"/>
  <c r="AB64" i="1"/>
  <c r="AB63" i="1"/>
  <c r="AB62" i="1"/>
  <c r="AB61" i="1"/>
  <c r="AB60" i="1"/>
  <c r="AB56" i="1"/>
  <c r="AB55" i="1"/>
  <c r="AB54" i="1"/>
  <c r="AB53" i="1"/>
  <c r="AB52" i="1"/>
  <c r="AB51" i="1"/>
  <c r="AB50" i="1"/>
  <c r="AB39" i="1"/>
  <c r="AB45" i="1"/>
  <c r="AB44" i="1"/>
  <c r="AB43" i="1"/>
  <c r="AB42" i="1"/>
  <c r="AB41" i="1"/>
  <c r="AB40" i="1"/>
  <c r="AB35" i="1"/>
  <c r="AB34" i="1"/>
  <c r="AB33" i="1"/>
  <c r="AB32" i="1"/>
  <c r="AB31" i="1"/>
  <c r="AB30" i="1"/>
  <c r="AB29" i="1"/>
  <c r="AB28" i="1"/>
  <c r="AB27" i="1"/>
  <c r="AB26" i="1"/>
  <c r="AB21" i="1"/>
  <c r="AB87" i="1"/>
  <c r="E76" i="1"/>
  <c r="E75" i="1"/>
  <c r="E74" i="1"/>
  <c r="E73" i="1"/>
  <c r="E72" i="1"/>
  <c r="E71" i="1"/>
  <c r="E70" i="1"/>
  <c r="E66" i="1"/>
  <c r="E65" i="1"/>
  <c r="E64" i="1"/>
  <c r="E63" i="1"/>
  <c r="E62" i="1"/>
  <c r="E61" i="1"/>
  <c r="E60" i="1"/>
  <c r="E56" i="1"/>
  <c r="E55" i="1"/>
  <c r="E54" i="1"/>
  <c r="E53" i="1"/>
  <c r="E52" i="1"/>
  <c r="E51" i="1"/>
  <c r="E50" i="1"/>
  <c r="J21" i="1"/>
  <c r="G21" i="1"/>
  <c r="J34" i="1"/>
  <c r="G34" i="1"/>
  <c r="J33" i="1"/>
  <c r="G33" i="1"/>
  <c r="R83" i="1"/>
  <c r="I83" i="1"/>
  <c r="R82" i="1"/>
  <c r="I82" i="1"/>
  <c r="N81" i="1"/>
  <c r="N80" i="1"/>
  <c r="R74" i="1"/>
  <c r="I74" i="1"/>
  <c r="R73" i="1"/>
  <c r="I73" i="1"/>
  <c r="N72" i="1"/>
  <c r="N71" i="1"/>
  <c r="R64" i="1"/>
  <c r="I64" i="1"/>
  <c r="R63" i="1"/>
  <c r="I63" i="1"/>
  <c r="N62" i="1"/>
  <c r="N61" i="1"/>
  <c r="J56" i="1"/>
  <c r="G56" i="1"/>
  <c r="J55" i="1"/>
  <c r="G55" i="1"/>
  <c r="I54" i="1"/>
  <c r="I53" i="1"/>
  <c r="I43" i="1"/>
  <c r="I42" i="1"/>
  <c r="I32" i="1"/>
  <c r="I31" i="1"/>
  <c r="J45" i="1"/>
  <c r="G45" i="1"/>
  <c r="J44" i="1"/>
  <c r="G44" i="1"/>
  <c r="I20" i="1"/>
  <c r="I19" i="1"/>
  <c r="I18" i="1"/>
  <c r="I17" i="1"/>
  <c r="R43" i="1"/>
  <c r="R42" i="1"/>
  <c r="N41" i="1"/>
  <c r="N40" i="1"/>
  <c r="H39" i="1"/>
  <c r="H79" i="1"/>
  <c r="J85" i="1"/>
  <c r="G85" i="1"/>
  <c r="J84" i="1"/>
  <c r="G84" i="1"/>
  <c r="J76" i="1"/>
  <c r="G76" i="1"/>
  <c r="J75" i="1"/>
  <c r="G75" i="1"/>
  <c r="H70" i="1"/>
  <c r="J66" i="1"/>
  <c r="G66" i="1"/>
  <c r="J65" i="1"/>
  <c r="G65" i="1"/>
  <c r="H60" i="1"/>
  <c r="R54" i="1"/>
  <c r="R53" i="1"/>
  <c r="N52" i="1"/>
  <c r="N51" i="1"/>
  <c r="H50" i="1"/>
  <c r="L35" i="1"/>
  <c r="K35" i="1"/>
  <c r="R32" i="1"/>
  <c r="R31" i="1"/>
  <c r="N30" i="1"/>
  <c r="N29" i="1"/>
  <c r="L22" i="1"/>
  <c r="K22" i="1"/>
  <c r="N18" i="1"/>
  <c r="T87" i="1" l="1" a="1"/>
  <c r="T87" i="1" s="1"/>
  <c r="M87" i="1" a="1"/>
  <c r="M87" i="1" s="1"/>
  <c r="G87" i="1" a="1"/>
  <c r="G87" i="1" s="1"/>
  <c r="N87" i="1" a="1"/>
  <c r="N87" i="1" s="1"/>
  <c r="R87" i="1" a="1"/>
  <c r="R87" i="1" s="1"/>
  <c r="P87" i="1" a="1"/>
  <c r="P87" i="1" s="1"/>
  <c r="S87" i="1" a="1"/>
  <c r="S87" i="1" s="1"/>
  <c r="Q87" i="1" a="1"/>
  <c r="Q87" i="1" s="1"/>
  <c r="O87" i="1" a="1"/>
  <c r="O87" i="1" s="1"/>
  <c r="H87" i="1" a="1"/>
  <c r="H87" i="1" s="1"/>
  <c r="L87" i="1" a="1"/>
  <c r="L87" i="1" s="1"/>
  <c r="K87" i="1" a="1"/>
  <c r="K87" i="1" s="1"/>
  <c r="D87" i="1"/>
  <c r="V87" i="1" a="1"/>
  <c r="V87" i="1" s="1"/>
  <c r="W87" i="1" a="1"/>
  <c r="W87" i="1" s="1"/>
  <c r="X87" i="1" a="1"/>
  <c r="X87" i="1" s="1"/>
  <c r="Y87" i="1" a="1"/>
  <c r="Y87" i="1" s="1"/>
  <c r="Z87" i="1" a="1"/>
  <c r="Z87" i="1" s="1"/>
  <c r="AA87" i="1" a="1"/>
  <c r="AA87" i="1" s="1"/>
  <c r="C5" i="2"/>
  <c r="AJ79" i="2" a="1"/>
  <c r="AJ79" i="2" s="1"/>
  <c r="AI79" i="2" a="1"/>
  <c r="AI79" i="2" s="1"/>
  <c r="AH79" i="2" a="1"/>
  <c r="AH79" i="2" s="1"/>
  <c r="AG79" i="2"/>
  <c r="AG79" i="2" a="1"/>
  <c r="AF79" i="2" a="1"/>
  <c r="AF79" i="2" s="1"/>
  <c r="AE79" i="2" a="1"/>
  <c r="AE79" i="2" s="1"/>
  <c r="AD79" i="2" a="1"/>
  <c r="AD79" i="2" s="1"/>
  <c r="AC79" i="2"/>
  <c r="AC79" i="2" a="1"/>
  <c r="AB79" i="2" a="1"/>
  <c r="AB79" i="2" s="1"/>
  <c r="Z79" i="2" a="1"/>
  <c r="Z79" i="2" s="1"/>
  <c r="Y79" i="2" a="1"/>
  <c r="Y79" i="2" s="1"/>
  <c r="X79" i="2"/>
  <c r="X79" i="2" a="1"/>
  <c r="W79" i="2" a="1"/>
  <c r="W79" i="2" s="1"/>
  <c r="V79" i="2" a="1"/>
  <c r="V79" i="2" s="1"/>
  <c r="U79" i="2" a="1"/>
  <c r="U79" i="2" s="1"/>
  <c r="T79" i="2"/>
  <c r="T79" i="2" a="1"/>
  <c r="S79" i="2" a="1"/>
  <c r="S79" i="2" s="1"/>
  <c r="R79" i="2" a="1"/>
  <c r="R79" i="2" s="1"/>
  <c r="Q79" i="2" a="1"/>
  <c r="Q79" i="2" s="1"/>
  <c r="P79" i="2" a="1"/>
  <c r="P79" i="2" s="1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I79" i="2" a="1"/>
  <c r="I79" i="2" s="1"/>
  <c r="H79" i="2" a="1"/>
  <c r="H79" i="2" s="1"/>
  <c r="G79" i="2" a="1"/>
  <c r="G79" i="2" s="1"/>
  <c r="D79" i="2"/>
  <c r="AK78" i="2"/>
  <c r="AK77" i="2"/>
  <c r="AK76" i="2"/>
  <c r="AK75" i="2"/>
  <c r="AK74" i="2"/>
  <c r="AK73" i="2"/>
  <c r="AK72" i="2"/>
  <c r="AK71" i="2"/>
  <c r="AK70" i="2"/>
  <c r="AK69" i="2"/>
  <c r="AK67" i="2"/>
  <c r="AK61" i="2"/>
  <c r="AK60" i="2"/>
  <c r="AK59" i="2"/>
  <c r="AK58" i="2"/>
  <c r="AK57" i="2"/>
  <c r="AK56" i="2"/>
  <c r="AK55" i="2"/>
  <c r="AK54" i="2"/>
  <c r="AK53" i="2"/>
  <c r="AK52" i="2"/>
  <c r="AK51" i="2"/>
  <c r="AK50" i="2"/>
  <c r="AK44" i="2"/>
  <c r="AL36" i="2"/>
  <c r="AK34" i="2"/>
  <c r="AK33" i="2"/>
  <c r="AK32" i="2"/>
  <c r="AK31" i="2"/>
  <c r="AK29" i="2"/>
  <c r="AK25" i="2"/>
  <c r="AK24" i="2"/>
  <c r="AK22" i="2"/>
  <c r="AK21" i="2"/>
  <c r="AK20" i="2"/>
  <c r="AK19" i="2"/>
  <c r="AK18" i="2"/>
  <c r="AK17" i="2"/>
  <c r="AK16" i="2"/>
  <c r="AK15" i="2"/>
  <c r="AK14" i="2"/>
  <c r="AK13" i="2"/>
  <c r="I87" i="1" l="1" a="1"/>
  <c r="I87" i="1" s="1"/>
  <c r="J87" i="1" a="1"/>
  <c r="J87" i="1" s="1"/>
  <c r="AK79" i="2"/>
  <c r="AB20" i="1" l="1"/>
  <c r="AB19" i="1"/>
  <c r="AB18" i="1"/>
  <c r="AB17" i="1"/>
  <c r="AB16" i="1" l="1"/>
  <c r="AB15" i="1"/>
  <c r="AB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<sst xmlns="http://schemas.openxmlformats.org/spreadsheetml/2006/main" count="467" uniqueCount="145">
  <si>
    <t>YARD/SHIP:</t>
  </si>
  <si>
    <t>CLASS:</t>
  </si>
  <si>
    <t>DATE:</t>
  </si>
  <si>
    <t>SIGN:</t>
  </si>
  <si>
    <t>EDITION</t>
  </si>
  <si>
    <t>Drawing</t>
  </si>
  <si>
    <t>Name</t>
  </si>
  <si>
    <t xml:space="preserve">Note:   </t>
  </si>
  <si>
    <t xml:space="preserve">  The material list is net weight, Shipyard should add margin for material wastage.</t>
  </si>
  <si>
    <t xml:space="preserve">  The material list only for one vessel.</t>
  </si>
  <si>
    <t>STEEL PART</t>
    <phoneticPr fontId="0" type="noConversion"/>
  </si>
  <si>
    <t>TOTAL/KG</t>
    <phoneticPr fontId="0" type="noConversion"/>
  </si>
  <si>
    <t>AH36</t>
  </si>
  <si>
    <t>A</t>
  </si>
  <si>
    <t xml:space="preserve"> MATERIAL FOR  YARD DELIVERY FITTINGS FO</t>
  </si>
  <si>
    <t>PROFILE</t>
  </si>
  <si>
    <t>DH36</t>
  </si>
  <si>
    <t>AISI 316</t>
  </si>
  <si>
    <t>MILD A</t>
  </si>
  <si>
    <t>Fe360B</t>
  </si>
  <si>
    <t>ITEM</t>
  </si>
  <si>
    <t>001</t>
  </si>
  <si>
    <t>002</t>
  </si>
  <si>
    <t>003</t>
  </si>
  <si>
    <t>004</t>
  </si>
  <si>
    <t>AH36  0&lt;T&lt;=40</t>
  </si>
  <si>
    <t>DH36  40&lt;T</t>
  </si>
  <si>
    <t>1210</t>
  </si>
  <si>
    <t>COMPRESSION PLATE 80x5.0</t>
  </si>
  <si>
    <t>ADJUSTING PLATE 100x10.0</t>
  </si>
  <si>
    <t>CLEAT ASSEMBLY</t>
  </si>
  <si>
    <t>FLUSH TYPE</t>
  </si>
  <si>
    <t>M39</t>
  </si>
  <si>
    <t>M33,TYPE OVER</t>
  </si>
  <si>
    <t>LOCATOR</t>
  </si>
  <si>
    <t>BEARING PAD</t>
  </si>
  <si>
    <t>STANCHION</t>
  </si>
  <si>
    <t>ARRANGEMENT</t>
  </si>
  <si>
    <t>CONSOLE</t>
  </si>
  <si>
    <t>LIFTING</t>
  </si>
  <si>
    <t>DRAIN PIPE</t>
  </si>
  <si>
    <t>DRAIN VALVE</t>
  </si>
  <si>
    <t>PLATE 80.0</t>
  </si>
  <si>
    <t>PLATE 45.0</t>
  </si>
  <si>
    <t>PLATE 25.0</t>
  </si>
  <si>
    <t>70x25x20.0</t>
  </si>
  <si>
    <t>Q345D</t>
  </si>
  <si>
    <t>PLATE 20.0</t>
  </si>
  <si>
    <t>SHOE, 8.0 HOT DIP GALV.*)</t>
  </si>
  <si>
    <t>PIPE, Ø42.4x3.6 HOT DIP GALV.*)</t>
  </si>
  <si>
    <t>RING, Ø9 HOT DIP GALV.*)</t>
  </si>
  <si>
    <t>PLATE, Ø38x6.0 HOT DIP GALV.*)</t>
  </si>
  <si>
    <t>RING Ø9 HOT DIP GALV.*)</t>
  </si>
  <si>
    <t>PIPE Ø42.4x3.6 HOT DIP GALV.*)</t>
  </si>
  <si>
    <t>PLATEØ 36x4  HOT DIP GALV. *)</t>
  </si>
  <si>
    <t>PIPE Ø57.0X5.6</t>
  </si>
  <si>
    <t>ROUND BAR Ø10x20</t>
  </si>
  <si>
    <t>PLATE 60.0</t>
  </si>
  <si>
    <t>DRAIN PIPE  Ø42.7x4.5</t>
  </si>
  <si>
    <t>FLANGE 8.0</t>
  </si>
  <si>
    <t>PIPE Ø42.4x3.6</t>
  </si>
  <si>
    <t>PIPE Ø57x5.6</t>
  </si>
  <si>
    <t>R.B.Ø10</t>
  </si>
  <si>
    <t>RING Ø9</t>
  </si>
  <si>
    <t>PIPE Ø42.7x4.5</t>
  </si>
  <si>
    <t>COMPRESSION PLATE 100x5.0</t>
  </si>
  <si>
    <t>Size</t>
  </si>
  <si>
    <t>Q'ty</t>
  </si>
  <si>
    <t>L=19256mm</t>
  </si>
  <si>
    <t>L=13276mm</t>
  </si>
  <si>
    <t>L=13256mm</t>
  </si>
  <si>
    <t>ADJUSTING PLATE 120x10.0</t>
  </si>
  <si>
    <t>1220</t>
  </si>
  <si>
    <t>COMPRESSION PLATE 180x5.0</t>
  </si>
  <si>
    <t>ADJUSTING PLATE 200x10.0</t>
  </si>
  <si>
    <t>L=54956mm</t>
  </si>
  <si>
    <t>PLATE 40.0</t>
  </si>
  <si>
    <t>MacGregor</t>
  </si>
  <si>
    <t>22.06.2022</t>
  </si>
  <si>
    <t>buito</t>
  </si>
  <si>
    <t>Delivery</t>
  </si>
  <si>
    <t>Y</t>
  </si>
  <si>
    <t>4200+4221</t>
  </si>
  <si>
    <t>M/Y</t>
  </si>
  <si>
    <t>4220+4221</t>
  </si>
  <si>
    <t>4265</t>
  </si>
  <si>
    <t>4266</t>
  </si>
  <si>
    <t>5270</t>
  </si>
  <si>
    <t>LR</t>
  </si>
  <si>
    <t>5400</t>
  </si>
  <si>
    <t>005</t>
  </si>
  <si>
    <t>006</t>
  </si>
  <si>
    <t>PLATE 70.0</t>
  </si>
  <si>
    <t>PLATE 35.0</t>
  </si>
  <si>
    <t>PLATE 30.0</t>
  </si>
  <si>
    <t>PLATE 15.0</t>
  </si>
  <si>
    <t>1215</t>
  </si>
  <si>
    <t>FLAT BAR, DRAINAGE ON COAMING</t>
  </si>
  <si>
    <t>SUS 316</t>
  </si>
  <si>
    <t>1225</t>
  </si>
  <si>
    <t xml:space="preserve"> Y</t>
  </si>
  <si>
    <t>1235</t>
  </si>
  <si>
    <t>1245</t>
  </si>
  <si>
    <t>1255</t>
  </si>
  <si>
    <t>COMPRESSION PLATE</t>
  </si>
  <si>
    <t>SUS 304</t>
  </si>
  <si>
    <t>HOLD-DOWN ASSEMBLY</t>
  </si>
  <si>
    <t>007</t>
  </si>
  <si>
    <t>008</t>
  </si>
  <si>
    <t>4210</t>
  </si>
  <si>
    <t>4211</t>
  </si>
  <si>
    <t>4220</t>
  </si>
  <si>
    <t>4221</t>
  </si>
  <si>
    <t>A MILD STEEL</t>
  </si>
  <si>
    <t>TRIANGLE PIECE</t>
  </si>
  <si>
    <t>SS400</t>
  </si>
  <si>
    <t>GRADE A</t>
  </si>
  <si>
    <t>LONGITUDINAL COAMING, RIGHT</t>
  </si>
  <si>
    <t>LONGITUDINAL COAMING, LEFT</t>
  </si>
  <si>
    <t>TRANSVERSAL COAMING, RIGHT</t>
  </si>
  <si>
    <t>TRANSVERSAL COAMING, LEFT</t>
  </si>
  <si>
    <t>5250</t>
  </si>
  <si>
    <t>5252</t>
  </si>
  <si>
    <t>1265</t>
  </si>
  <si>
    <t>1275</t>
  </si>
  <si>
    <t>Fy-STOPPER, L=700mm</t>
  </si>
  <si>
    <t>Fy-STOPPER, L=550mm</t>
  </si>
  <si>
    <t>13.01.2026</t>
  </si>
  <si>
    <t>L65x65x6.0</t>
  </si>
  <si>
    <t>U43x80x5.0</t>
  </si>
  <si>
    <t xml:space="preserve">COMPRESSION PLATE </t>
  </si>
  <si>
    <t>60x5.0 L=3500mm</t>
  </si>
  <si>
    <t>120x5.0 L=13300mm</t>
  </si>
  <si>
    <t>170x5.0 L=41000mm</t>
  </si>
  <si>
    <t>170x5.0 L=56500mm</t>
  </si>
  <si>
    <t>50x25 L=135600 mm</t>
  </si>
  <si>
    <t>50x 25 L=135600 mm</t>
  </si>
  <si>
    <t>60x5.0 L=4000mm</t>
  </si>
  <si>
    <t>50x25 L=137000 mm</t>
  </si>
  <si>
    <t>GUANGZHOU SHIPYARD INT CO., LTD</t>
  </si>
  <si>
    <t>NK C24K-14-18</t>
  </si>
  <si>
    <t>4 PANEL</t>
  </si>
  <si>
    <t>3 PANEL</t>
  </si>
  <si>
    <t>12 PANEL</t>
  </si>
  <si>
    <t>1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</si>
</sst>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_);[Red]\(0.00\)"/>
    <numFmt numFmtId="165" formatCode="0.0_);[Red]\(0.0\)"/>
    <numFmt numFmtId="166" formatCode="0.0"/>
  </numFmts>
  <fonts count="14" x14ac:knownFonts="1">
    <font>
      <sz val="10"/>
      <name val="MS Sans Serif"/>
      <family val="2"/>
    </font>
    <font>
      <b/>
      <sz val="10"/>
      <name val="MS Sans Serif"/>
      <family val="2"/>
    </font>
    <font>
      <sz val="8"/>
      <color indexed="8"/>
      <name val="MS Sans Serif"/>
      <family val="2"/>
    </font>
    <font>
      <sz val="8"/>
      <name val="MS Sans Serif"/>
      <family val="2"/>
    </font>
    <font>
      <b/>
      <sz val="8"/>
      <name val="MS Sans Serif"/>
      <family val="2"/>
    </font>
    <font>
      <b/>
      <sz val="8"/>
      <color indexed="8"/>
      <name val="MS Sans Serif"/>
      <family val="2"/>
    </font>
    <font>
      <sz val="8"/>
      <color indexed="10"/>
      <name val="MS Sans Serif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name val="MS Sans Serif"/>
      <family val="2"/>
    </font>
    <font>
      <sz val="8"/>
      <color indexed="12"/>
      <name val="MS Sans Serif"/>
      <family val="2"/>
    </font>
    <font>
      <b/>
      <sz val="10"/>
      <color indexed="8"/>
      <name val="MS Sans Serif"/>
      <family val="2"/>
    </font>
    <font>
      <b/>
      <sz val="8"/>
      <color indexed="12"/>
      <name val="MS Sans Serif"/>
      <family val="2"/>
    </font>
    <font>
      <b/>
      <sz val="8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6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165" fontId="2" fillId="0" borderId="1" xfId="0" applyNumberFormat="1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164" fontId="2" fillId="0" borderId="0" xfId="0" applyNumberFormat="1" applyFont="1"/>
    <xf numFmtId="0" fontId="10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66" fontId="2" fillId="0" borderId="2" xfId="0" applyNumberFormat="1" applyFont="1" applyBorder="1" applyAlignment="1">
      <alignment horizontal="center" vertical="center"/>
    </xf>
    <xf numFmtId="166" fontId="2" fillId="0" borderId="2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 vertical="center"/>
    </xf>
    <xf numFmtId="0" fontId="4" fillId="0" borderId="0" xfId="0" applyFont="1"/>
    <xf numFmtId="0" fontId="12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5" fillId="0" borderId="0" xfId="0" applyFont="1"/>
    <xf numFmtId="166" fontId="2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6" fontId="3" fillId="0" borderId="1" xfId="0" applyNumberFormat="1" applyFon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/>
    </xf>
    <xf numFmtId="166" fontId="3" fillId="0" borderId="2" xfId="0" applyNumberFormat="1" applyFont="1" applyBorder="1" applyAlignment="1">
      <alignment horizontal="center"/>
    </xf>
    <xf numFmtId="166" fontId="7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center"/>
    </xf>
    <xf numFmtId="166" fontId="4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165" fontId="3" fillId="3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/>
    </xf>
    <xf numFmtId="1" fontId="7" fillId="3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1" fillId="0" borderId="0" xfId="0" applyFont="1"/>
    <xf numFmtId="0" fontId="1" fillId="3" borderId="0" xfId="0" applyFont="1" applyFill="1"/>
    <xf numFmtId="0" fontId="11" fillId="0" borderId="3" xfId="0" applyFont="1" applyBorder="1" applyAlignment="1">
      <alignment vertical="center"/>
    </xf>
    <xf numFmtId="49" fontId="2" fillId="0" borderId="0" xfId="0" applyNumberFormat="1" applyFont="1"/>
    <xf numFmtId="49" fontId="5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/>
    </xf>
    <xf numFmtId="49" fontId="7" fillId="0" borderId="0" xfId="0" applyNumberFormat="1" applyFont="1"/>
    <xf numFmtId="49" fontId="8" fillId="0" borderId="0" xfId="0" applyNumberFormat="1" applyFont="1"/>
    <xf numFmtId="49" fontId="3" fillId="0" borderId="1" xfId="0" applyNumberFormat="1" applyFont="1" applyBorder="1"/>
    <xf numFmtId="166" fontId="2" fillId="0" borderId="1" xfId="0" applyNumberFormat="1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49" fontId="3" fillId="0" borderId="0" xfId="0" applyNumberFormat="1" applyFont="1"/>
    <xf numFmtId="0" fontId="2" fillId="0" borderId="0" xfId="0" applyFont="1" applyAlignment="1">
      <alignment horizontal="center" vertical="center"/>
    </xf>
    <xf numFmtId="49" fontId="3" fillId="3" borderId="1" xfId="0" applyNumberFormat="1" applyFont="1" applyFill="1" applyBorder="1"/>
    <xf numFmtId="0" fontId="3" fillId="3" borderId="1" xfId="0" applyFont="1" applyFill="1" applyBorder="1" applyAlignment="1">
      <alignment horizontal="left"/>
    </xf>
    <xf numFmtId="49" fontId="2" fillId="3" borderId="1" xfId="0" applyNumberFormat="1" applyFont="1" applyFill="1" applyBorder="1" applyAlignment="1">
      <alignment horizontal="left"/>
    </xf>
    <xf numFmtId="166" fontId="2" fillId="3" borderId="1" xfId="0" applyNumberFormat="1" applyFont="1" applyFill="1" applyBorder="1" applyAlignment="1">
      <alignment horizontal="center"/>
    </xf>
    <xf numFmtId="166" fontId="2" fillId="3" borderId="2" xfId="0" applyNumberFormat="1" applyFont="1" applyFill="1" applyBorder="1" applyAlignment="1">
      <alignment horizontal="center"/>
    </xf>
    <xf numFmtId="166" fontId="2" fillId="3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64" fontId="2" fillId="3" borderId="0" xfId="0" applyNumberFormat="1" applyFont="1" applyFill="1"/>
    <xf numFmtId="0" fontId="2" fillId="3" borderId="0" xfId="0" applyFont="1" applyFill="1"/>
    <xf numFmtId="166" fontId="2" fillId="4" borderId="2" xfId="0" applyNumberFormat="1" applyFont="1" applyFill="1" applyBorder="1" applyAlignment="1">
      <alignment horizontal="center" vertical="center"/>
    </xf>
    <xf numFmtId="49" fontId="3" fillId="5" borderId="1" xfId="0" applyNumberFormat="1" applyFont="1" applyFill="1" applyBorder="1"/>
    <xf numFmtId="166" fontId="2" fillId="4" borderId="2" xfId="0" applyNumberFormat="1" applyFont="1" applyFill="1" applyBorder="1" applyAlignment="1">
      <alignment horizontal="center"/>
    </xf>
    <xf numFmtId="164" fontId="2" fillId="5" borderId="0" xfId="0" applyNumberFormat="1" applyFont="1" applyFill="1"/>
  </cellXfs>
  <cellStyles count="1">
    <cellStyle name="Normal" xfId="0" builtinId="0"/>
  </cellStyles>
  <dxfs count="213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C90"/>
  <sheetViews>
    <sheetView tabSelected="1" zoomScale="130" zoomScaleNormal="130" zoomScaleSheetLayoutView="75" workbookViewId="0">
      <pane xSplit="4" ySplit="12" topLeftCell="E46" activePane="bottomRight" state="frozen"/>
      <selection pane="topRight" activeCell="I1" sqref="I1"/>
      <selection pane="bottomLeft" activeCell="A13" sqref="A13"/>
      <selection pane="bottomRight" activeCell="E82" sqref="E82"/>
    </sheetView>
  </sheetViews>
  <sheetFormatPr defaultColWidth="9.140625" defaultRowHeight="12" customHeight="1" x14ac:dyDescent="0.15"/>
  <cols>
    <col min="1" max="1" width="12.85546875" style="3" customWidth="1"/>
    <col min="2" max="2" width="34.85546875" style="4" customWidth="1"/>
    <col min="3" max="3" width="18.28515625" style="61" customWidth="1"/>
    <col min="4" max="4" width="26.28515625" style="7" bestFit="1" customWidth="1"/>
    <col min="5" max="5" width="12.42578125" style="7" bestFit="1" customWidth="1"/>
    <col min="6" max="6" width="7.28515625" style="7" bestFit="1" customWidth="1"/>
    <col min="7" max="7" width="5.7109375" style="7" customWidth="1"/>
    <col min="8" max="9" width="6.7109375" style="37" customWidth="1"/>
    <col min="10" max="10" width="6.140625" style="7" customWidth="1"/>
    <col min="11" max="11" width="7.85546875" style="7" bestFit="1" customWidth="1"/>
    <col min="12" max="12" width="7.140625" style="7" customWidth="1"/>
    <col min="13" max="13" width="7.140625" style="7" bestFit="1" customWidth="1"/>
    <col min="14" max="18" width="11.42578125" style="7" bestFit="1" customWidth="1"/>
    <col min="19" max="19" width="12.42578125" style="7" customWidth="1"/>
    <col min="20" max="20" width="11.42578125" style="7" bestFit="1" customWidth="1"/>
    <col min="21" max="21" width="4.85546875" style="7" hidden="1" customWidth="1"/>
    <col min="22" max="22" width="3.140625" style="47" hidden="1" customWidth="1"/>
    <col min="23" max="23" width="9" style="7" hidden="1" customWidth="1"/>
    <col min="24" max="24" width="8.5703125" style="7" hidden="1" customWidth="1"/>
    <col min="25" max="27" width="14.28515625" style="7" hidden="1" customWidth="1"/>
    <col min="28" max="28" width="10" style="3" bestFit="1" customWidth="1"/>
    <col min="29" max="29" width="6.85546875" style="3" customWidth="1"/>
    <col min="30" max="37" width="4.7109375" style="3" customWidth="1"/>
    <col min="38" max="16384" width="9.140625" style="3"/>
  </cols>
  <sheetData>
    <row r="1" spans="1:28" ht="15.75" customHeight="1" x14ac:dyDescent="0.15">
      <c r="A1" s="6" t="s">
        <v>77</v>
      </c>
      <c r="B1" s="6"/>
      <c r="C1" s="59"/>
    </row>
    <row r="2" spans="1:28" ht="15.75" customHeight="1" x14ac:dyDescent="0.15">
      <c r="A2" s="6" t="s">
        <v>14</v>
      </c>
      <c r="B2" s="6"/>
      <c r="C2" s="60"/>
      <c r="D2" s="21"/>
      <c r="E2" s="21"/>
      <c r="F2" s="21"/>
      <c r="G2" s="21"/>
      <c r="H2" s="38"/>
      <c r="I2" s="38"/>
    </row>
    <row r="3" spans="1:28" ht="15.75" customHeight="1" x14ac:dyDescent="0.15">
      <c r="A3" s="8"/>
      <c r="B3" s="8"/>
      <c r="C3" s="60"/>
      <c r="D3" s="21"/>
      <c r="E3" s="21"/>
      <c r="F3" s="21"/>
      <c r="G3" s="21"/>
      <c r="H3" s="38"/>
      <c r="I3" s="38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48"/>
    </row>
    <row r="4" spans="1:28" ht="15.75" customHeight="1" x14ac:dyDescent="0.25">
      <c r="A4" s="8" t="s">
        <v>0</v>
      </c>
      <c r="B4" s="10" t="s">
        <v>139</v>
      </c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7"/>
      <c r="W4" s="24"/>
      <c r="X4" s="24"/>
      <c r="Y4" s="24"/>
      <c r="Z4" s="24"/>
      <c r="AA4" s="24"/>
    </row>
    <row r="5" spans="1:28" ht="15.75" customHeight="1" x14ac:dyDescent="0.25">
      <c r="A5" s="8" t="s">
        <v>1</v>
      </c>
      <c r="B5" s="10" t="s">
        <v>140</v>
      </c>
      <c r="E5" s="7" t="s">
        <v>25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48"/>
      <c r="W5" s="24"/>
      <c r="X5" s="24"/>
      <c r="Y5" s="24"/>
      <c r="Z5" s="24"/>
      <c r="AA5" s="24"/>
    </row>
    <row r="6" spans="1:28" ht="15.75" customHeight="1" x14ac:dyDescent="0.15">
      <c r="A6" s="8" t="s">
        <v>2</v>
      </c>
      <c r="B6" s="11" t="s">
        <v>127</v>
      </c>
      <c r="E6" s="7" t="s">
        <v>26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48"/>
      <c r="W6" s="9"/>
      <c r="X6" s="9"/>
      <c r="Y6" s="9"/>
      <c r="Z6" s="9"/>
      <c r="AA6" s="9"/>
    </row>
    <row r="7" spans="1:28" ht="15.75" customHeight="1" x14ac:dyDescent="0.15">
      <c r="A7" s="8" t="s">
        <v>3</v>
      </c>
      <c r="B7" s="10" t="s">
        <v>79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W7" s="9"/>
      <c r="X7" s="9"/>
      <c r="Y7" s="9"/>
      <c r="Z7" s="9"/>
      <c r="AA7" s="9"/>
    </row>
    <row r="8" spans="1:28" ht="15.75" customHeight="1" x14ac:dyDescent="0.15">
      <c r="A8" s="8" t="s">
        <v>4</v>
      </c>
      <c r="B8" s="19" t="s">
        <v>13</v>
      </c>
    </row>
    <row r="9" spans="1:28" ht="15.75" customHeight="1" x14ac:dyDescent="0.15">
      <c r="A9" s="8"/>
      <c r="B9" s="19"/>
      <c r="E9" s="58" t="s">
        <v>10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5"/>
      <c r="W9" s="58" t="s">
        <v>15</v>
      </c>
      <c r="X9" s="58"/>
      <c r="Y9" s="58"/>
      <c r="Z9" s="58"/>
      <c r="AA9" s="58"/>
    </row>
    <row r="10" spans="1:28" s="23" customFormat="1" ht="15.75" customHeight="1" x14ac:dyDescent="0.2">
      <c r="B10" s="29"/>
      <c r="C10" s="62"/>
      <c r="D10" s="28" t="s">
        <v>66</v>
      </c>
      <c r="E10" s="28" t="s">
        <v>67</v>
      </c>
      <c r="F10" s="70" t="s">
        <v>80</v>
      </c>
      <c r="G10" s="28" t="s">
        <v>115</v>
      </c>
      <c r="H10" s="28" t="s">
        <v>12</v>
      </c>
      <c r="I10" s="28" t="s">
        <v>12</v>
      </c>
      <c r="J10" s="28" t="s">
        <v>12</v>
      </c>
      <c r="K10" s="28" t="s">
        <v>116</v>
      </c>
      <c r="L10" s="28" t="s">
        <v>98</v>
      </c>
      <c r="M10" s="28" t="s">
        <v>105</v>
      </c>
      <c r="N10" s="28" t="s">
        <v>113</v>
      </c>
      <c r="O10" s="28" t="s">
        <v>113</v>
      </c>
      <c r="P10" s="28" t="s">
        <v>113</v>
      </c>
      <c r="Q10" s="28" t="s">
        <v>113</v>
      </c>
      <c r="R10" s="28" t="s">
        <v>113</v>
      </c>
      <c r="S10" s="28" t="s">
        <v>113</v>
      </c>
      <c r="T10" s="28" t="s">
        <v>113</v>
      </c>
      <c r="U10" s="28"/>
      <c r="V10" s="49"/>
      <c r="W10" s="27" t="s">
        <v>12</v>
      </c>
      <c r="X10" s="27" t="s">
        <v>19</v>
      </c>
      <c r="Y10" s="27" t="s">
        <v>18</v>
      </c>
      <c r="Z10" s="27" t="s">
        <v>18</v>
      </c>
      <c r="AA10" s="27" t="s">
        <v>18</v>
      </c>
    </row>
    <row r="11" spans="1:28" s="36" customFormat="1" ht="12" customHeight="1" x14ac:dyDescent="0.15">
      <c r="A11" s="33"/>
      <c r="B11" s="34"/>
      <c r="C11" s="60"/>
      <c r="D11" s="40"/>
      <c r="E11" s="40"/>
      <c r="F11" s="40"/>
      <c r="G11" s="40">
        <v>20</v>
      </c>
      <c r="H11" s="40">
        <v>25</v>
      </c>
      <c r="I11" s="40">
        <v>30</v>
      </c>
      <c r="J11" s="40">
        <v>40</v>
      </c>
      <c r="K11" s="40">
        <v>10</v>
      </c>
      <c r="L11" s="40">
        <v>10</v>
      </c>
      <c r="M11" s="40">
        <v>5</v>
      </c>
      <c r="N11" s="40">
        <v>6</v>
      </c>
      <c r="O11" s="40">
        <v>7</v>
      </c>
      <c r="P11" s="40">
        <v>8</v>
      </c>
      <c r="Q11" s="40">
        <v>10</v>
      </c>
      <c r="R11" s="40">
        <v>20</v>
      </c>
      <c r="S11" s="40" t="s">
        <v>129</v>
      </c>
      <c r="T11" s="40" t="s">
        <v>128</v>
      </c>
      <c r="U11" s="40"/>
      <c r="V11" s="50"/>
      <c r="W11" s="35" t="s">
        <v>62</v>
      </c>
      <c r="X11" s="35" t="s">
        <v>63</v>
      </c>
      <c r="Y11" s="35" t="s">
        <v>60</v>
      </c>
      <c r="Z11" s="35" t="s">
        <v>64</v>
      </c>
      <c r="AA11" s="35" t="s">
        <v>61</v>
      </c>
    </row>
    <row r="12" spans="1:28" ht="12" customHeight="1" x14ac:dyDescent="0.15">
      <c r="A12" s="1" t="s">
        <v>5</v>
      </c>
      <c r="B12" s="2" t="s">
        <v>6</v>
      </c>
      <c r="C12" s="63" t="s">
        <v>20</v>
      </c>
      <c r="D12" s="68"/>
      <c r="E12" s="68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51"/>
      <c r="W12" s="12"/>
      <c r="X12" s="12"/>
      <c r="Y12" s="12"/>
      <c r="Z12" s="12"/>
      <c r="AA12" s="12"/>
    </row>
    <row r="13" spans="1:28" ht="12" customHeight="1" x14ac:dyDescent="0.15">
      <c r="A13" s="83" t="s">
        <v>96</v>
      </c>
      <c r="B13" s="13"/>
      <c r="C13" s="5"/>
      <c r="D13" s="41"/>
      <c r="E13" s="41"/>
      <c r="F13" s="31" t="s">
        <v>81</v>
      </c>
      <c r="G13" s="31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51"/>
      <c r="W13" s="12"/>
      <c r="X13" s="12"/>
      <c r="Y13" s="12"/>
      <c r="Z13" s="12"/>
      <c r="AA13" s="12"/>
      <c r="AB13" s="85" t="s">
        <v>144</v>
      </c>
    </row>
    <row r="14" spans="1:28" ht="12" customHeight="1" x14ac:dyDescent="0.15">
      <c r="A14" s="67">
        <v>1</v>
      </c>
      <c r="B14" s="13" t="s">
        <v>130</v>
      </c>
      <c r="C14" s="5" t="s">
        <v>90</v>
      </c>
      <c r="D14" s="41" t="s">
        <v>132</v>
      </c>
      <c r="E14" s="41">
        <v>2</v>
      </c>
      <c r="F14" s="31" t="s">
        <v>81</v>
      </c>
      <c r="G14" s="31"/>
      <c r="H14" s="30"/>
      <c r="I14" s="30"/>
      <c r="J14" s="30"/>
      <c r="K14" s="30"/>
      <c r="L14" s="30"/>
      <c r="M14" s="30">
        <v>70</v>
      </c>
      <c r="N14" s="30"/>
      <c r="O14" s="30"/>
      <c r="P14" s="30"/>
      <c r="Q14" s="30"/>
      <c r="R14" s="30"/>
      <c r="S14" s="30"/>
      <c r="T14" s="30"/>
      <c r="U14" s="30"/>
      <c r="V14" s="51"/>
      <c r="W14" s="12"/>
      <c r="X14" s="12"/>
      <c r="Y14" s="12"/>
      <c r="Z14" s="12"/>
      <c r="AA14" s="12"/>
      <c r="AB14" s="18">
        <f t="shared" ref="AB13:AB22" si="0">SUM(D14:AA14)</f>
        <v>72</v>
      </c>
    </row>
    <row r="15" spans="1:28" ht="12" customHeight="1" x14ac:dyDescent="0.15">
      <c r="A15" s="67">
        <v>2</v>
      </c>
      <c r="B15" s="13" t="s">
        <v>130</v>
      </c>
      <c r="C15" s="5" t="s">
        <v>107</v>
      </c>
      <c r="D15" s="41" t="s">
        <v>131</v>
      </c>
      <c r="E15" s="41">
        <v>1</v>
      </c>
      <c r="F15" s="31" t="s">
        <v>81</v>
      </c>
      <c r="G15" s="31"/>
      <c r="H15" s="30"/>
      <c r="I15" s="30"/>
      <c r="J15" s="30"/>
      <c r="K15" s="30"/>
      <c r="L15" s="30"/>
      <c r="M15" s="30">
        <v>7.3</v>
      </c>
      <c r="N15" s="30"/>
      <c r="O15" s="30"/>
      <c r="P15" s="30"/>
      <c r="Q15" s="30"/>
      <c r="R15" s="30"/>
      <c r="S15" s="30"/>
      <c r="T15" s="30"/>
      <c r="U15" s="30"/>
      <c r="V15" s="51"/>
      <c r="W15" s="12"/>
      <c r="X15" s="12"/>
      <c r="Y15" s="12"/>
      <c r="Z15" s="12"/>
      <c r="AA15" s="12"/>
      <c r="AB15" s="18">
        <f t="shared" si="0"/>
        <v>8.3000000000000007</v>
      </c>
    </row>
    <row r="16" spans="1:28" ht="12" customHeight="1" x14ac:dyDescent="0.15">
      <c r="A16" s="67">
        <v>3</v>
      </c>
      <c r="B16" s="13" t="s">
        <v>130</v>
      </c>
      <c r="C16" s="5" t="s">
        <v>108</v>
      </c>
      <c r="D16" s="41" t="s">
        <v>133</v>
      </c>
      <c r="E16" s="41">
        <v>2</v>
      </c>
      <c r="F16" s="31" t="s">
        <v>81</v>
      </c>
      <c r="G16" s="31"/>
      <c r="H16" s="30"/>
      <c r="I16" s="41"/>
      <c r="J16" s="30"/>
      <c r="K16" s="30"/>
      <c r="L16" s="30"/>
      <c r="M16" s="30">
        <v>245</v>
      </c>
      <c r="N16" s="30"/>
      <c r="O16" s="30"/>
      <c r="P16" s="30"/>
      <c r="Q16" s="30"/>
      <c r="R16" s="30"/>
      <c r="S16" s="30"/>
      <c r="T16" s="30"/>
      <c r="U16" s="30"/>
      <c r="V16" s="51"/>
      <c r="W16" s="12"/>
      <c r="X16" s="12"/>
      <c r="Y16" s="12"/>
      <c r="Z16" s="12"/>
      <c r="AA16" s="12"/>
      <c r="AB16" s="18">
        <f t="shared" si="0"/>
        <v>247</v>
      </c>
    </row>
    <row r="17" spans="1:29" ht="12" customHeight="1" x14ac:dyDescent="0.15">
      <c r="A17" s="67">
        <v>4</v>
      </c>
      <c r="B17" s="13" t="s">
        <v>106</v>
      </c>
      <c r="C17" s="5" t="s">
        <v>109</v>
      </c>
      <c r="D17" s="41" t="s">
        <v>117</v>
      </c>
      <c r="E17" s="41">
        <v>1</v>
      </c>
      <c r="F17" s="31" t="s">
        <v>81</v>
      </c>
      <c r="G17" s="31"/>
      <c r="H17" s="30"/>
      <c r="I17" s="30">
        <f>12.3*2</f>
        <v>24.6</v>
      </c>
      <c r="J17" s="30"/>
      <c r="K17" s="30"/>
      <c r="L17" s="30"/>
      <c r="M17" s="30"/>
      <c r="N17" s="30">
        <v>0.5</v>
      </c>
      <c r="O17" s="30"/>
      <c r="P17" s="30">
        <v>0.9</v>
      </c>
      <c r="Q17" s="30"/>
      <c r="R17" s="30"/>
      <c r="S17" s="30"/>
      <c r="T17" s="30">
        <v>1.5</v>
      </c>
      <c r="U17" s="30"/>
      <c r="V17" s="51"/>
      <c r="W17" s="12"/>
      <c r="X17" s="12"/>
      <c r="Y17" s="12"/>
      <c r="Z17" s="12"/>
      <c r="AA17" s="12"/>
      <c r="AB17" s="18">
        <f t="shared" si="0"/>
        <v>28.5</v>
      </c>
    </row>
    <row r="18" spans="1:29" ht="12" customHeight="1" x14ac:dyDescent="0.15">
      <c r="A18" s="67">
        <v>5</v>
      </c>
      <c r="B18" s="13" t="s">
        <v>106</v>
      </c>
      <c r="C18" s="5" t="s">
        <v>110</v>
      </c>
      <c r="D18" s="41" t="s">
        <v>118</v>
      </c>
      <c r="E18" s="41">
        <v>1</v>
      </c>
      <c r="F18" s="31" t="s">
        <v>81</v>
      </c>
      <c r="G18" s="31"/>
      <c r="H18" s="30"/>
      <c r="I18" s="30">
        <f>12.3*2</f>
        <v>24.6</v>
      </c>
      <c r="J18" s="30"/>
      <c r="K18" s="30"/>
      <c r="L18" s="30"/>
      <c r="M18" s="30"/>
      <c r="N18" s="30">
        <f>7850*0.21*0.05*0.006</f>
        <v>0.4945500000000001</v>
      </c>
      <c r="O18" s="30"/>
      <c r="P18" s="30">
        <v>0.9</v>
      </c>
      <c r="Q18" s="30"/>
      <c r="R18" s="30"/>
      <c r="S18" s="30"/>
      <c r="T18" s="30">
        <v>1.5</v>
      </c>
      <c r="U18" s="30"/>
      <c r="V18" s="51"/>
      <c r="W18" s="12"/>
      <c r="X18" s="12"/>
      <c r="Y18" s="12"/>
      <c r="Z18" s="12"/>
      <c r="AA18" s="12"/>
      <c r="AB18" s="18">
        <f t="shared" si="0"/>
        <v>28.49455</v>
      </c>
    </row>
    <row r="19" spans="1:29" ht="12" customHeight="1" x14ac:dyDescent="0.15">
      <c r="A19" s="67">
        <v>6</v>
      </c>
      <c r="B19" s="13" t="s">
        <v>106</v>
      </c>
      <c r="C19" s="5" t="s">
        <v>111</v>
      </c>
      <c r="D19" s="41" t="s">
        <v>119</v>
      </c>
      <c r="E19" s="41">
        <v>8</v>
      </c>
      <c r="F19" s="31" t="s">
        <v>81</v>
      </c>
      <c r="G19" s="31"/>
      <c r="H19" s="30"/>
      <c r="I19" s="30">
        <f>26*2</f>
        <v>52</v>
      </c>
      <c r="J19" s="30"/>
      <c r="K19" s="30"/>
      <c r="L19" s="30"/>
      <c r="M19" s="30"/>
      <c r="N19" s="30"/>
      <c r="O19" s="30">
        <v>1.4</v>
      </c>
      <c r="P19" s="30"/>
      <c r="Q19" s="30">
        <v>0.2</v>
      </c>
      <c r="R19" s="30">
        <v>1.1000000000000001</v>
      </c>
      <c r="S19" s="30">
        <v>1.6</v>
      </c>
      <c r="T19" s="30"/>
      <c r="U19" s="30"/>
      <c r="V19" s="51"/>
      <c r="W19" s="12"/>
      <c r="X19" s="12"/>
      <c r="Y19" s="12"/>
      <c r="Z19" s="12"/>
      <c r="AA19" s="12"/>
      <c r="AB19" s="18">
        <f t="shared" si="0"/>
        <v>64.3</v>
      </c>
    </row>
    <row r="20" spans="1:29" ht="12" customHeight="1" x14ac:dyDescent="0.15">
      <c r="A20" s="67">
        <v>7</v>
      </c>
      <c r="B20" s="13" t="s">
        <v>106</v>
      </c>
      <c r="C20" s="5" t="s">
        <v>112</v>
      </c>
      <c r="D20" s="41" t="s">
        <v>120</v>
      </c>
      <c r="E20" s="41">
        <v>8</v>
      </c>
      <c r="F20" s="31" t="s">
        <v>81</v>
      </c>
      <c r="G20" s="31"/>
      <c r="H20" s="30"/>
      <c r="I20" s="30">
        <f>26*2</f>
        <v>52</v>
      </c>
      <c r="J20" s="30"/>
      <c r="K20" s="30"/>
      <c r="L20" s="30"/>
      <c r="M20" s="30"/>
      <c r="N20" s="30"/>
      <c r="O20" s="30">
        <v>1.4</v>
      </c>
      <c r="P20" s="30"/>
      <c r="Q20" s="30">
        <v>0.2</v>
      </c>
      <c r="R20" s="30">
        <v>1.1000000000000001</v>
      </c>
      <c r="S20" s="30">
        <v>1.6</v>
      </c>
      <c r="T20" s="30"/>
      <c r="U20" s="30"/>
      <c r="V20" s="51"/>
      <c r="W20" s="12"/>
      <c r="X20" s="12"/>
      <c r="Y20" s="12"/>
      <c r="Z20" s="12"/>
      <c r="AA20" s="12"/>
      <c r="AB20" s="18">
        <f t="shared" si="0"/>
        <v>64.3</v>
      </c>
    </row>
    <row r="21" spans="1:29" ht="12" customHeight="1" x14ac:dyDescent="0.15">
      <c r="A21" s="67">
        <v>8</v>
      </c>
      <c r="B21" s="13" t="s">
        <v>34</v>
      </c>
      <c r="C21" s="5" t="s">
        <v>122</v>
      </c>
      <c r="D21" s="41" t="s">
        <v>126</v>
      </c>
      <c r="E21" s="41">
        <v>4</v>
      </c>
      <c r="F21" s="31" t="s">
        <v>81</v>
      </c>
      <c r="G21" s="84">
        <f>5*2</f>
        <v>10</v>
      </c>
      <c r="H21" s="82"/>
      <c r="I21" s="82"/>
      <c r="J21" s="82">
        <f>48.7+27.1+27.1</f>
        <v>102.9</v>
      </c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51"/>
      <c r="W21" s="12"/>
      <c r="X21" s="12"/>
      <c r="Y21" s="12"/>
      <c r="Z21" s="12"/>
      <c r="AA21" s="12"/>
      <c r="AB21" s="18">
        <f t="shared" si="0"/>
        <v>116.9</v>
      </c>
    </row>
    <row r="22" spans="1:29" ht="12" customHeight="1" x14ac:dyDescent="0.15">
      <c r="A22" s="67">
        <v>9</v>
      </c>
      <c r="B22" s="67" t="s">
        <v>114</v>
      </c>
      <c r="C22" s="13">
        <v>5800</v>
      </c>
      <c r="D22" s="5"/>
      <c r="E22" s="41">
        <v>6</v>
      </c>
      <c r="F22" s="31" t="s">
        <v>81</v>
      </c>
      <c r="G22" s="31"/>
      <c r="H22" s="31"/>
      <c r="I22" s="31"/>
      <c r="J22" s="31"/>
      <c r="K22" s="30">
        <f>5.5*2</f>
        <v>11</v>
      </c>
      <c r="L22" s="30">
        <f>5.5*2+0.2</f>
        <v>11.2</v>
      </c>
      <c r="M22" s="30"/>
      <c r="N22" s="30"/>
      <c r="O22" s="30"/>
      <c r="P22" s="30"/>
      <c r="Q22" s="30"/>
      <c r="R22" s="30"/>
      <c r="S22" s="30"/>
      <c r="T22" s="30"/>
      <c r="U22" s="30"/>
      <c r="V22" s="51"/>
      <c r="X22" s="12"/>
      <c r="Y22" s="12"/>
      <c r="Z22" s="12"/>
      <c r="AA22" s="12"/>
      <c r="AB22" s="18"/>
      <c r="AC22" s="18"/>
    </row>
    <row r="23" spans="1:29" ht="12" customHeight="1" x14ac:dyDescent="0.15">
      <c r="A23" s="67"/>
      <c r="B23" s="13"/>
      <c r="C23" s="5"/>
      <c r="D23" s="41"/>
      <c r="E23" s="41"/>
      <c r="F23" s="31"/>
      <c r="G23" s="31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51"/>
      <c r="W23" s="12"/>
      <c r="X23" s="12"/>
      <c r="Y23" s="12"/>
      <c r="Z23" s="12"/>
      <c r="AA23" s="12"/>
      <c r="AB23" s="18"/>
    </row>
    <row r="24" spans="1:29" ht="12" customHeight="1" x14ac:dyDescent="0.15">
      <c r="A24" s="67"/>
      <c r="B24" s="67"/>
      <c r="C24" s="13"/>
      <c r="D24" s="5"/>
      <c r="E24" s="4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51"/>
      <c r="X24" s="12"/>
      <c r="Y24" s="12"/>
      <c r="Z24" s="12"/>
      <c r="AA24" s="12"/>
      <c r="AB24" s="72"/>
      <c r="AC24" s="18"/>
    </row>
    <row r="25" spans="1:29" ht="12" customHeight="1" x14ac:dyDescent="0.15">
      <c r="A25" s="83" t="s">
        <v>99</v>
      </c>
      <c r="B25" s="67"/>
      <c r="C25" s="13"/>
      <c r="D25" s="5"/>
      <c r="E25" s="4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51"/>
      <c r="X25" s="12"/>
      <c r="Y25" s="12"/>
      <c r="Z25" s="12"/>
      <c r="AA25" s="12"/>
      <c r="AB25" s="85" t="s">
        <v>144</v>
      </c>
      <c r="AC25" s="18"/>
    </row>
    <row r="26" spans="1:29" ht="12" customHeight="1" x14ac:dyDescent="0.15">
      <c r="A26" s="67">
        <v>1</v>
      </c>
      <c r="B26" s="13" t="s">
        <v>104</v>
      </c>
      <c r="C26" s="5" t="s">
        <v>90</v>
      </c>
      <c r="D26" s="41" t="s">
        <v>132</v>
      </c>
      <c r="E26" s="41">
        <v>2</v>
      </c>
      <c r="F26" s="31" t="s">
        <v>81</v>
      </c>
      <c r="G26" s="31"/>
      <c r="H26" s="30"/>
      <c r="I26" s="30"/>
      <c r="J26" s="30"/>
      <c r="K26" s="30"/>
      <c r="L26" s="30"/>
      <c r="M26" s="30">
        <v>70</v>
      </c>
      <c r="N26" s="30"/>
      <c r="O26" s="30"/>
      <c r="P26" s="30"/>
      <c r="Q26" s="30"/>
      <c r="R26" s="30"/>
      <c r="S26" s="30"/>
      <c r="T26" s="30"/>
      <c r="U26" s="30"/>
      <c r="V26" s="51"/>
      <c r="X26" s="12"/>
      <c r="Y26" s="12"/>
      <c r="Z26" s="12"/>
      <c r="AA26" s="12"/>
      <c r="AB26" s="18">
        <f t="shared" ref="AB26:AB35" si="1">SUM(D26:AA26)</f>
        <v>72</v>
      </c>
      <c r="AC26" s="18"/>
    </row>
    <row r="27" spans="1:29" ht="12" customHeight="1" x14ac:dyDescent="0.15">
      <c r="A27" s="67">
        <v>2</v>
      </c>
      <c r="B27" s="13" t="s">
        <v>104</v>
      </c>
      <c r="C27" s="5" t="s">
        <v>107</v>
      </c>
      <c r="D27" s="41" t="s">
        <v>137</v>
      </c>
      <c r="E27" s="41">
        <v>1</v>
      </c>
      <c r="F27" s="31" t="s">
        <v>81</v>
      </c>
      <c r="G27" s="31"/>
      <c r="H27" s="30"/>
      <c r="I27" s="30"/>
      <c r="J27" s="30"/>
      <c r="K27" s="30"/>
      <c r="L27" s="30"/>
      <c r="M27" s="30">
        <v>9.4</v>
      </c>
      <c r="N27" s="30"/>
      <c r="O27" s="30"/>
      <c r="P27" s="30"/>
      <c r="Q27" s="30"/>
      <c r="R27" s="30"/>
      <c r="S27" s="30"/>
      <c r="T27" s="30"/>
      <c r="U27" s="30"/>
      <c r="V27" s="51"/>
      <c r="X27" s="12"/>
      <c r="Y27" s="12"/>
      <c r="Z27" s="12"/>
      <c r="AA27" s="12"/>
      <c r="AB27" s="18">
        <f t="shared" si="1"/>
        <v>10.4</v>
      </c>
      <c r="AC27" s="18"/>
    </row>
    <row r="28" spans="1:29" ht="12" customHeight="1" x14ac:dyDescent="0.15">
      <c r="A28" s="67">
        <v>3</v>
      </c>
      <c r="B28" s="13" t="s">
        <v>104</v>
      </c>
      <c r="C28" s="5" t="s">
        <v>108</v>
      </c>
      <c r="D28" s="41" t="s">
        <v>134</v>
      </c>
      <c r="E28" s="41">
        <v>2</v>
      </c>
      <c r="F28" s="31" t="s">
        <v>81</v>
      </c>
      <c r="G28" s="31"/>
      <c r="H28" s="30"/>
      <c r="J28" s="30"/>
      <c r="K28" s="30"/>
      <c r="L28" s="30"/>
      <c r="M28" s="30">
        <v>338</v>
      </c>
      <c r="N28" s="30"/>
      <c r="O28" s="30"/>
      <c r="P28" s="30"/>
      <c r="Q28" s="30"/>
      <c r="R28" s="30"/>
      <c r="S28" s="30"/>
      <c r="T28" s="30"/>
      <c r="U28" s="30"/>
      <c r="V28" s="51"/>
      <c r="X28" s="12"/>
      <c r="Y28" s="12"/>
      <c r="Z28" s="12"/>
      <c r="AA28" s="12"/>
      <c r="AB28" s="18">
        <f t="shared" si="1"/>
        <v>340</v>
      </c>
      <c r="AC28" s="18"/>
    </row>
    <row r="29" spans="1:29" ht="10.5" x14ac:dyDescent="0.15">
      <c r="A29" s="67">
        <v>4</v>
      </c>
      <c r="B29" s="13" t="s">
        <v>106</v>
      </c>
      <c r="C29" s="5" t="s">
        <v>109</v>
      </c>
      <c r="D29" s="41" t="s">
        <v>117</v>
      </c>
      <c r="E29" s="41">
        <v>1</v>
      </c>
      <c r="F29" s="31" t="s">
        <v>81</v>
      </c>
      <c r="G29" s="31"/>
      <c r="H29" s="30"/>
      <c r="I29" s="30">
        <v>24.6</v>
      </c>
      <c r="J29" s="30"/>
      <c r="K29" s="30"/>
      <c r="L29" s="30"/>
      <c r="M29" s="30"/>
      <c r="N29" s="30">
        <f>7850*0.21*0.05*0.006</f>
        <v>0.4945500000000001</v>
      </c>
      <c r="O29" s="30"/>
      <c r="P29" s="30">
        <v>0.9</v>
      </c>
      <c r="Q29" s="30"/>
      <c r="R29" s="30"/>
      <c r="S29" s="30"/>
      <c r="T29" s="30">
        <v>1.5</v>
      </c>
      <c r="U29" s="30"/>
      <c r="V29" s="51"/>
      <c r="W29" s="12"/>
      <c r="X29" s="12"/>
      <c r="Y29" s="12"/>
      <c r="Z29" s="12"/>
      <c r="AA29" s="12"/>
      <c r="AB29" s="18">
        <f t="shared" si="1"/>
        <v>28.49455</v>
      </c>
    </row>
    <row r="30" spans="1:29" ht="12" customHeight="1" x14ac:dyDescent="0.15">
      <c r="A30" s="67">
        <v>5</v>
      </c>
      <c r="B30" s="13" t="s">
        <v>106</v>
      </c>
      <c r="C30" s="5" t="s">
        <v>110</v>
      </c>
      <c r="D30" s="41" t="s">
        <v>118</v>
      </c>
      <c r="E30" s="41">
        <v>1</v>
      </c>
      <c r="F30" s="31" t="s">
        <v>81</v>
      </c>
      <c r="G30" s="31"/>
      <c r="H30" s="30"/>
      <c r="I30" s="30">
        <v>24.6</v>
      </c>
      <c r="J30" s="30"/>
      <c r="K30" s="30"/>
      <c r="L30" s="30"/>
      <c r="M30" s="30"/>
      <c r="N30" s="30">
        <f>7850*0.21*0.05*0.006</f>
        <v>0.4945500000000001</v>
      </c>
      <c r="O30" s="30"/>
      <c r="P30" s="30">
        <v>0.9</v>
      </c>
      <c r="Q30" s="30"/>
      <c r="R30" s="30"/>
      <c r="S30" s="30"/>
      <c r="T30" s="30">
        <v>1.5</v>
      </c>
      <c r="U30" s="30"/>
      <c r="V30" s="51"/>
      <c r="W30" s="12"/>
      <c r="X30" s="12"/>
      <c r="Y30" s="12"/>
      <c r="Z30" s="12"/>
      <c r="AA30" s="12"/>
      <c r="AB30" s="18">
        <f t="shared" si="1"/>
        <v>28.49455</v>
      </c>
    </row>
    <row r="31" spans="1:29" ht="12" customHeight="1" x14ac:dyDescent="0.15">
      <c r="A31" s="67">
        <v>6</v>
      </c>
      <c r="B31" s="13" t="s">
        <v>106</v>
      </c>
      <c r="C31" s="5" t="s">
        <v>111</v>
      </c>
      <c r="D31" s="41" t="s">
        <v>119</v>
      </c>
      <c r="E31" s="41">
        <v>8</v>
      </c>
      <c r="F31" s="31" t="s">
        <v>81</v>
      </c>
      <c r="G31" s="31"/>
      <c r="H31" s="30"/>
      <c r="I31" s="30">
        <f t="shared" ref="I31:I32" si="2">26*2</f>
        <v>52</v>
      </c>
      <c r="J31" s="30"/>
      <c r="K31" s="30"/>
      <c r="L31" s="30"/>
      <c r="M31" s="30"/>
      <c r="N31" s="30"/>
      <c r="O31" s="30">
        <v>1.4</v>
      </c>
      <c r="P31" s="30"/>
      <c r="Q31" s="30">
        <v>0.2</v>
      </c>
      <c r="R31" s="30">
        <f>7850*0.138*0.05*0.02</f>
        <v>1.0833000000000004</v>
      </c>
      <c r="S31" s="30">
        <v>1.6</v>
      </c>
      <c r="T31" s="30"/>
      <c r="U31" s="30"/>
      <c r="V31" s="51"/>
      <c r="W31" s="12"/>
      <c r="X31" s="12"/>
      <c r="Y31" s="12"/>
      <c r="Z31" s="12"/>
      <c r="AA31" s="12"/>
      <c r="AB31" s="18">
        <f t="shared" si="1"/>
        <v>64.283299999999997</v>
      </c>
    </row>
    <row r="32" spans="1:29" ht="12" customHeight="1" x14ac:dyDescent="0.15">
      <c r="A32" s="67">
        <v>7</v>
      </c>
      <c r="B32" s="13" t="s">
        <v>106</v>
      </c>
      <c r="C32" s="5" t="s">
        <v>112</v>
      </c>
      <c r="D32" s="41" t="s">
        <v>120</v>
      </c>
      <c r="E32" s="41">
        <v>8</v>
      </c>
      <c r="F32" s="31" t="s">
        <v>81</v>
      </c>
      <c r="G32" s="31"/>
      <c r="H32" s="30"/>
      <c r="I32" s="30">
        <f t="shared" si="2"/>
        <v>52</v>
      </c>
      <c r="J32" s="30"/>
      <c r="K32" s="30"/>
      <c r="L32" s="30"/>
      <c r="M32" s="30"/>
      <c r="N32" s="30"/>
      <c r="O32" s="30">
        <v>1.4</v>
      </c>
      <c r="P32" s="30"/>
      <c r="Q32" s="30">
        <v>0.2</v>
      </c>
      <c r="R32" s="30">
        <f>7850*0.138*0.05*0.02</f>
        <v>1.0833000000000004</v>
      </c>
      <c r="S32" s="30">
        <v>1.6</v>
      </c>
      <c r="T32" s="30"/>
      <c r="U32" s="30"/>
      <c r="V32" s="51"/>
      <c r="W32" s="12"/>
      <c r="X32" s="12"/>
      <c r="Y32" s="12"/>
      <c r="Z32" s="12"/>
      <c r="AA32" s="12"/>
      <c r="AB32" s="18">
        <f t="shared" si="1"/>
        <v>64.283299999999997</v>
      </c>
    </row>
    <row r="33" spans="1:28" ht="12" customHeight="1" x14ac:dyDescent="0.15">
      <c r="A33" s="67">
        <v>8</v>
      </c>
      <c r="B33" s="13" t="s">
        <v>34</v>
      </c>
      <c r="C33" s="5" t="s">
        <v>122</v>
      </c>
      <c r="D33" s="41" t="s">
        <v>126</v>
      </c>
      <c r="E33" s="41">
        <v>2</v>
      </c>
      <c r="F33" s="31" t="s">
        <v>81</v>
      </c>
      <c r="G33" s="84">
        <f>5*2</f>
        <v>10</v>
      </c>
      <c r="H33" s="82"/>
      <c r="I33" s="82"/>
      <c r="J33" s="82">
        <f>48.7+27.1+27.1</f>
        <v>102.9</v>
      </c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51"/>
      <c r="W33" s="12"/>
      <c r="X33" s="12"/>
      <c r="Y33" s="12"/>
      <c r="Z33" s="12"/>
      <c r="AA33" s="12"/>
      <c r="AB33" s="18">
        <f t="shared" si="1"/>
        <v>114.9</v>
      </c>
    </row>
    <row r="34" spans="1:28" ht="12" customHeight="1" x14ac:dyDescent="0.15">
      <c r="A34" s="67">
        <v>9</v>
      </c>
      <c r="B34" s="13" t="s">
        <v>34</v>
      </c>
      <c r="C34" s="5" t="s">
        <v>121</v>
      </c>
      <c r="D34" s="41" t="s">
        <v>125</v>
      </c>
      <c r="E34" s="41">
        <v>2</v>
      </c>
      <c r="F34" s="31" t="s">
        <v>81</v>
      </c>
      <c r="G34" s="84">
        <f>6.4*2</f>
        <v>12.8</v>
      </c>
      <c r="H34" s="82"/>
      <c r="I34" s="82"/>
      <c r="J34" s="82">
        <f>72+32.4+32.4</f>
        <v>136.80000000000001</v>
      </c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51"/>
      <c r="W34" s="12"/>
      <c r="X34" s="12"/>
      <c r="Y34" s="12"/>
      <c r="Z34" s="12"/>
      <c r="AA34" s="12"/>
      <c r="AB34" s="18">
        <f t="shared" si="1"/>
        <v>151.60000000000002</v>
      </c>
    </row>
    <row r="35" spans="1:28" ht="12" customHeight="1" x14ac:dyDescent="0.15">
      <c r="A35" s="67">
        <v>10</v>
      </c>
      <c r="B35" s="67" t="s">
        <v>114</v>
      </c>
      <c r="C35" s="13">
        <v>5800</v>
      </c>
      <c r="D35" s="5"/>
      <c r="E35" s="41">
        <v>6</v>
      </c>
      <c r="F35" s="31" t="s">
        <v>81</v>
      </c>
      <c r="G35" s="31"/>
      <c r="H35" s="31"/>
      <c r="I35" s="31"/>
      <c r="J35" s="31"/>
      <c r="K35" s="30">
        <f>5.5*2</f>
        <v>11</v>
      </c>
      <c r="L35" s="30">
        <f>5.5*2+0.2</f>
        <v>11.2</v>
      </c>
      <c r="M35" s="30"/>
      <c r="N35" s="30"/>
      <c r="O35" s="30"/>
      <c r="P35" s="30"/>
      <c r="Q35" s="30"/>
      <c r="R35" s="30"/>
      <c r="S35" s="30"/>
      <c r="T35" s="30"/>
      <c r="U35" s="30"/>
      <c r="V35" s="51"/>
      <c r="W35" s="12"/>
      <c r="X35" s="12"/>
      <c r="Y35" s="12"/>
      <c r="Z35" s="12"/>
      <c r="AA35" s="12"/>
      <c r="AB35" s="18">
        <f t="shared" si="1"/>
        <v>28.2</v>
      </c>
    </row>
    <row r="36" spans="1:28" ht="12" customHeight="1" x14ac:dyDescent="0.15">
      <c r="A36" s="67"/>
      <c r="B36" s="67"/>
      <c r="C36" s="13"/>
      <c r="D36" s="5"/>
      <c r="E36" s="4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51"/>
      <c r="W36" s="12"/>
      <c r="X36" s="12"/>
      <c r="Y36" s="12"/>
      <c r="Z36" s="12"/>
      <c r="AA36" s="12"/>
      <c r="AB36" s="18"/>
    </row>
    <row r="37" spans="1:28" ht="12" customHeight="1" x14ac:dyDescent="0.15">
      <c r="A37" s="67"/>
      <c r="B37" s="67"/>
      <c r="C37" s="13"/>
      <c r="D37" s="5"/>
      <c r="E37" s="4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51"/>
      <c r="W37" s="12"/>
      <c r="X37" s="12"/>
      <c r="Y37" s="12"/>
      <c r="Z37" s="12"/>
      <c r="AA37" s="12"/>
      <c r="AB37" s="18"/>
    </row>
    <row r="38" spans="1:28" ht="12" customHeight="1" x14ac:dyDescent="0.15">
      <c r="A38" s="83" t="s">
        <v>101</v>
      </c>
      <c r="B38" s="13"/>
      <c r="C38" s="5"/>
      <c r="D38" s="41"/>
      <c r="E38" s="41"/>
      <c r="F38" s="31"/>
      <c r="G38" s="31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51"/>
      <c r="W38" s="12"/>
      <c r="X38" s="12"/>
      <c r="Y38" s="12"/>
      <c r="Z38" s="12"/>
      <c r="AA38" s="12"/>
      <c r="AB38" s="85" t="s">
        <v>144</v>
      </c>
    </row>
    <row r="39" spans="1:28" ht="12" customHeight="1" x14ac:dyDescent="0.15">
      <c r="A39" s="67">
        <v>1</v>
      </c>
      <c r="B39" s="13" t="s">
        <v>97</v>
      </c>
      <c r="C39" s="5"/>
      <c r="D39" s="41" t="s">
        <v>135</v>
      </c>
      <c r="E39" s="41">
        <v>1</v>
      </c>
      <c r="F39" s="31" t="s">
        <v>100</v>
      </c>
      <c r="G39" s="31"/>
      <c r="H39" s="30">
        <f>7850*0.05*0.025*135.6</f>
        <v>1330.575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51"/>
      <c r="W39" s="12"/>
      <c r="X39" s="12"/>
      <c r="Y39" s="12"/>
      <c r="Z39" s="12"/>
      <c r="AA39" s="12"/>
      <c r="AB39" s="18">
        <f t="shared" ref="AB39:AB45" si="3">SUM(D39:AA39)</f>
        <v>1331.575</v>
      </c>
    </row>
    <row r="40" spans="1:28" ht="12" customHeight="1" x14ac:dyDescent="0.15">
      <c r="A40" s="67">
        <v>2</v>
      </c>
      <c r="B40" s="13" t="s">
        <v>106</v>
      </c>
      <c r="C40" s="5" t="s">
        <v>109</v>
      </c>
      <c r="D40" s="41" t="s">
        <v>117</v>
      </c>
      <c r="E40" s="41">
        <v>1</v>
      </c>
      <c r="F40" s="31" t="s">
        <v>81</v>
      </c>
      <c r="G40" s="31"/>
      <c r="H40" s="30"/>
      <c r="I40" s="30">
        <v>24.6</v>
      </c>
      <c r="J40" s="30"/>
      <c r="K40" s="30"/>
      <c r="L40" s="30"/>
      <c r="M40" s="30"/>
      <c r="N40" s="30">
        <f>7850*0.21*0.05*0.006</f>
        <v>0.4945500000000001</v>
      </c>
      <c r="O40" s="30"/>
      <c r="P40" s="30">
        <v>0.9</v>
      </c>
      <c r="Q40" s="30"/>
      <c r="R40" s="30"/>
      <c r="S40" s="30"/>
      <c r="T40" s="30">
        <v>1.5</v>
      </c>
      <c r="U40" s="30"/>
      <c r="V40" s="51"/>
      <c r="W40" s="12"/>
      <c r="X40" s="12"/>
      <c r="Y40" s="12"/>
      <c r="Z40" s="12"/>
      <c r="AA40" s="12"/>
      <c r="AB40" s="18">
        <f t="shared" si="3"/>
        <v>28.49455</v>
      </c>
    </row>
    <row r="41" spans="1:28" ht="12" customHeight="1" x14ac:dyDescent="0.15">
      <c r="A41" s="67">
        <v>3</v>
      </c>
      <c r="B41" s="13" t="s">
        <v>106</v>
      </c>
      <c r="C41" s="5" t="s">
        <v>110</v>
      </c>
      <c r="D41" s="41" t="s">
        <v>118</v>
      </c>
      <c r="E41" s="41">
        <v>1</v>
      </c>
      <c r="F41" s="31" t="s">
        <v>81</v>
      </c>
      <c r="G41" s="31"/>
      <c r="H41" s="30"/>
      <c r="I41" s="30">
        <v>24.6</v>
      </c>
      <c r="J41" s="30"/>
      <c r="K41" s="30"/>
      <c r="L41" s="30"/>
      <c r="M41" s="30"/>
      <c r="N41" s="30">
        <f>7850*0.21*0.05*0.006</f>
        <v>0.4945500000000001</v>
      </c>
      <c r="O41" s="30"/>
      <c r="P41" s="30">
        <v>0.9</v>
      </c>
      <c r="Q41" s="30"/>
      <c r="R41" s="30"/>
      <c r="S41" s="30"/>
      <c r="T41" s="30">
        <v>1.5</v>
      </c>
      <c r="U41" s="30"/>
      <c r="V41" s="51"/>
      <c r="W41" s="12"/>
      <c r="X41" s="12"/>
      <c r="Y41" s="12"/>
      <c r="Z41" s="12"/>
      <c r="AA41" s="12"/>
      <c r="AB41" s="18">
        <f t="shared" si="3"/>
        <v>28.49455</v>
      </c>
    </row>
    <row r="42" spans="1:28" ht="12" customHeight="1" x14ac:dyDescent="0.15">
      <c r="A42" s="67">
        <v>4</v>
      </c>
      <c r="B42" s="13" t="s">
        <v>106</v>
      </c>
      <c r="C42" s="5" t="s">
        <v>111</v>
      </c>
      <c r="D42" s="41" t="s">
        <v>119</v>
      </c>
      <c r="E42" s="41">
        <v>4</v>
      </c>
      <c r="F42" s="31" t="s">
        <v>81</v>
      </c>
      <c r="G42" s="31"/>
      <c r="H42" s="30"/>
      <c r="I42" s="30">
        <f t="shared" ref="I42:I43" si="4">26*2</f>
        <v>52</v>
      </c>
      <c r="J42" s="30"/>
      <c r="K42" s="30"/>
      <c r="L42" s="30"/>
      <c r="M42" s="30"/>
      <c r="N42" s="30"/>
      <c r="O42" s="30">
        <v>1.4</v>
      </c>
      <c r="P42" s="30"/>
      <c r="Q42" s="30">
        <v>0.2</v>
      </c>
      <c r="R42" s="30">
        <f>7850*0.138*0.05*0.02</f>
        <v>1.0833000000000004</v>
      </c>
      <c r="S42" s="30">
        <v>1.6</v>
      </c>
      <c r="T42" s="30"/>
      <c r="U42" s="30"/>
      <c r="V42" s="51"/>
      <c r="W42" s="12"/>
      <c r="X42" s="12"/>
      <c r="Y42" s="12"/>
      <c r="Z42" s="12"/>
      <c r="AA42" s="12"/>
      <c r="AB42" s="18">
        <f t="shared" si="3"/>
        <v>60.283300000000004</v>
      </c>
    </row>
    <row r="43" spans="1:28" ht="12" customHeight="1" x14ac:dyDescent="0.15">
      <c r="A43" s="67">
        <v>5</v>
      </c>
      <c r="B43" s="13" t="s">
        <v>106</v>
      </c>
      <c r="C43" s="5" t="s">
        <v>112</v>
      </c>
      <c r="D43" s="41" t="s">
        <v>120</v>
      </c>
      <c r="E43" s="41">
        <v>4</v>
      </c>
      <c r="F43" s="31" t="s">
        <v>81</v>
      </c>
      <c r="G43" s="31"/>
      <c r="H43" s="30"/>
      <c r="I43" s="30">
        <f t="shared" si="4"/>
        <v>52</v>
      </c>
      <c r="J43" s="30"/>
      <c r="K43" s="30"/>
      <c r="L43" s="30"/>
      <c r="M43" s="30"/>
      <c r="N43" s="30"/>
      <c r="O43" s="30">
        <v>1.4</v>
      </c>
      <c r="P43" s="30"/>
      <c r="Q43" s="30">
        <v>0.2</v>
      </c>
      <c r="R43" s="30">
        <f>7850*0.138*0.05*0.02</f>
        <v>1.0833000000000004</v>
      </c>
      <c r="S43" s="30">
        <v>1.6</v>
      </c>
      <c r="T43" s="30"/>
      <c r="U43" s="30"/>
      <c r="V43" s="51"/>
      <c r="W43" s="12"/>
      <c r="X43" s="12"/>
      <c r="Y43" s="12"/>
      <c r="Z43" s="12"/>
      <c r="AA43" s="12"/>
      <c r="AB43" s="18">
        <f t="shared" si="3"/>
        <v>60.283300000000004</v>
      </c>
    </row>
    <row r="44" spans="1:28" ht="12" customHeight="1" x14ac:dyDescent="0.15">
      <c r="A44" s="67">
        <v>6</v>
      </c>
      <c r="B44" s="13" t="s">
        <v>34</v>
      </c>
      <c r="C44" s="5" t="s">
        <v>121</v>
      </c>
      <c r="D44" s="41" t="s">
        <v>125</v>
      </c>
      <c r="E44" s="41">
        <v>2</v>
      </c>
      <c r="F44" s="31" t="s">
        <v>81</v>
      </c>
      <c r="G44" s="84">
        <f>6.4*2</f>
        <v>12.8</v>
      </c>
      <c r="H44" s="82"/>
      <c r="I44" s="82"/>
      <c r="J44" s="82">
        <f>72+32.4+32.4</f>
        <v>136.80000000000001</v>
      </c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51"/>
      <c r="W44" s="12"/>
      <c r="X44" s="12"/>
      <c r="Y44" s="12"/>
      <c r="Z44" s="12"/>
      <c r="AA44" s="12"/>
      <c r="AB44" s="18">
        <f t="shared" si="3"/>
        <v>151.60000000000002</v>
      </c>
    </row>
    <row r="45" spans="1:28" ht="12" customHeight="1" x14ac:dyDescent="0.15">
      <c r="A45" s="67">
        <v>7</v>
      </c>
      <c r="B45" s="13" t="s">
        <v>34</v>
      </c>
      <c r="C45" s="5" t="s">
        <v>122</v>
      </c>
      <c r="D45" s="41" t="s">
        <v>126</v>
      </c>
      <c r="E45" s="41">
        <v>2</v>
      </c>
      <c r="F45" s="31" t="s">
        <v>81</v>
      </c>
      <c r="G45" s="84">
        <f>5*2</f>
        <v>10</v>
      </c>
      <c r="H45" s="82"/>
      <c r="I45" s="82"/>
      <c r="J45" s="82">
        <f>48.7+27.1+27.1</f>
        <v>102.9</v>
      </c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51"/>
      <c r="W45" s="12"/>
      <c r="X45" s="12"/>
      <c r="Y45" s="12"/>
      <c r="Z45" s="12"/>
      <c r="AA45" s="12"/>
      <c r="AB45" s="18">
        <f t="shared" si="3"/>
        <v>114.9</v>
      </c>
    </row>
    <row r="46" spans="1:28" ht="12" customHeight="1" x14ac:dyDescent="0.15">
      <c r="A46" s="67"/>
      <c r="B46" s="67"/>
      <c r="C46" s="13"/>
      <c r="D46" s="5"/>
      <c r="E46" s="4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51"/>
      <c r="W46" s="12"/>
      <c r="X46" s="12"/>
      <c r="Y46" s="12"/>
      <c r="Z46" s="12"/>
      <c r="AA46" s="12"/>
      <c r="AB46" s="18"/>
    </row>
    <row r="47" spans="1:28" ht="12" customHeight="1" x14ac:dyDescent="0.15">
      <c r="A47" s="67"/>
      <c r="B47" s="13"/>
      <c r="C47" s="5"/>
      <c r="D47" s="41"/>
      <c r="E47" s="41"/>
      <c r="F47" s="31"/>
      <c r="G47" s="31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51"/>
      <c r="W47" s="12"/>
      <c r="X47" s="12"/>
      <c r="Y47" s="12"/>
      <c r="Z47" s="12"/>
      <c r="AA47" s="12"/>
      <c r="AB47" s="18"/>
    </row>
    <row r="48" spans="1:28" ht="12" customHeight="1" x14ac:dyDescent="0.15">
      <c r="A48" s="67"/>
      <c r="B48" s="13"/>
      <c r="C48" s="5"/>
      <c r="D48" s="41"/>
      <c r="E48" s="41"/>
      <c r="F48" s="31"/>
      <c r="G48" s="31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51"/>
      <c r="W48" s="12"/>
      <c r="X48" s="12"/>
      <c r="Y48" s="12"/>
      <c r="Z48" s="12"/>
      <c r="AA48" s="12"/>
      <c r="AB48" s="18"/>
    </row>
    <row r="49" spans="1:28" ht="12" customHeight="1" x14ac:dyDescent="0.15">
      <c r="A49" s="83" t="s">
        <v>102</v>
      </c>
      <c r="B49" s="13"/>
      <c r="C49" s="5"/>
      <c r="D49" s="41"/>
      <c r="E49" s="41"/>
      <c r="F49" s="31"/>
      <c r="G49" s="31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51"/>
      <c r="W49" s="12"/>
      <c r="X49" s="12"/>
      <c r="Y49" s="12"/>
      <c r="Z49" s="12"/>
      <c r="AA49" s="12"/>
      <c r="AB49" s="85" t="s">
        <v>141</v>
      </c>
    </row>
    <row r="50" spans="1:28" ht="12" customHeight="1" x14ac:dyDescent="0.15">
      <c r="A50" s="67">
        <v>1</v>
      </c>
      <c r="B50" s="13" t="s">
        <v>97</v>
      </c>
      <c r="C50" s="5"/>
      <c r="D50" s="41" t="s">
        <v>135</v>
      </c>
      <c r="E50" s="41">
        <f>1*4</f>
        <v>4</v>
      </c>
      <c r="F50" s="31" t="s">
        <v>100</v>
      </c>
      <c r="G50" s="31"/>
      <c r="H50" s="30">
        <f>7850*0.05*0.025*135.6</f>
        <v>1330.575</v>
      </c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51"/>
      <c r="W50" s="12"/>
      <c r="X50" s="12"/>
      <c r="Y50" s="12"/>
      <c r="Z50" s="12"/>
      <c r="AA50" s="12"/>
      <c r="AB50" s="18">
        <f t="shared" ref="AB50:AB56" si="5">SUM(D50:AA50)</f>
        <v>1334.575</v>
      </c>
    </row>
    <row r="51" spans="1:28" ht="12" customHeight="1" x14ac:dyDescent="0.15">
      <c r="A51" s="67">
        <v>2</v>
      </c>
      <c r="B51" s="13" t="s">
        <v>106</v>
      </c>
      <c r="C51" s="5" t="s">
        <v>109</v>
      </c>
      <c r="D51" s="41" t="s">
        <v>117</v>
      </c>
      <c r="E51" s="41">
        <f>1*4</f>
        <v>4</v>
      </c>
      <c r="F51" s="31" t="s">
        <v>81</v>
      </c>
      <c r="G51" s="31"/>
      <c r="H51" s="30"/>
      <c r="I51" s="30">
        <v>24.6</v>
      </c>
      <c r="J51" s="30"/>
      <c r="K51" s="30"/>
      <c r="L51" s="30"/>
      <c r="M51" s="30"/>
      <c r="N51" s="30">
        <f>7850*0.21*0.05*0.006</f>
        <v>0.4945500000000001</v>
      </c>
      <c r="O51" s="30"/>
      <c r="P51" s="30">
        <v>0.9</v>
      </c>
      <c r="Q51" s="30"/>
      <c r="R51" s="30"/>
      <c r="S51" s="30"/>
      <c r="T51" s="30">
        <v>1.5</v>
      </c>
      <c r="U51" s="30"/>
      <c r="V51" s="51"/>
      <c r="W51" s="12"/>
      <c r="X51" s="12"/>
      <c r="Y51" s="12"/>
      <c r="Z51" s="12"/>
      <c r="AA51" s="12"/>
      <c r="AB51" s="18">
        <f t="shared" si="5"/>
        <v>31.49455</v>
      </c>
    </row>
    <row r="52" spans="1:28" ht="12" customHeight="1" x14ac:dyDescent="0.15">
      <c r="A52" s="67">
        <v>3</v>
      </c>
      <c r="B52" s="13" t="s">
        <v>106</v>
      </c>
      <c r="C52" s="5" t="s">
        <v>110</v>
      </c>
      <c r="D52" s="41" t="s">
        <v>118</v>
      </c>
      <c r="E52" s="41">
        <f>1*4</f>
        <v>4</v>
      </c>
      <c r="F52" s="31" t="s">
        <v>81</v>
      </c>
      <c r="G52" s="31"/>
      <c r="H52" s="30"/>
      <c r="I52" s="30">
        <v>24.6</v>
      </c>
      <c r="J52" s="30"/>
      <c r="K52" s="30"/>
      <c r="L52" s="30"/>
      <c r="M52" s="30"/>
      <c r="N52" s="30">
        <f>7850*0.21*0.05*0.006</f>
        <v>0.4945500000000001</v>
      </c>
      <c r="O52" s="30"/>
      <c r="P52" s="30">
        <v>0.9</v>
      </c>
      <c r="Q52" s="30"/>
      <c r="R52" s="30"/>
      <c r="S52" s="30"/>
      <c r="T52" s="30">
        <v>1.5</v>
      </c>
      <c r="U52" s="30"/>
      <c r="V52" s="51"/>
      <c r="W52" s="12"/>
      <c r="X52" s="12"/>
      <c r="Y52" s="12"/>
      <c r="Z52" s="12"/>
      <c r="AA52" s="12"/>
      <c r="AB52" s="18">
        <f t="shared" si="5"/>
        <v>31.49455</v>
      </c>
    </row>
    <row r="53" spans="1:28" ht="12" customHeight="1" x14ac:dyDescent="0.15">
      <c r="A53" s="67">
        <v>4</v>
      </c>
      <c r="B53" s="13" t="s">
        <v>106</v>
      </c>
      <c r="C53" s="5" t="s">
        <v>111</v>
      </c>
      <c r="D53" s="41" t="s">
        <v>119</v>
      </c>
      <c r="E53" s="41">
        <f>4*4</f>
        <v>16</v>
      </c>
      <c r="F53" s="31" t="s">
        <v>81</v>
      </c>
      <c r="G53" s="31"/>
      <c r="H53" s="30"/>
      <c r="I53" s="30">
        <f t="shared" ref="I53:I54" si="6">26*2</f>
        <v>52</v>
      </c>
      <c r="J53" s="30"/>
      <c r="K53" s="30"/>
      <c r="L53" s="30"/>
      <c r="M53" s="30"/>
      <c r="N53" s="30"/>
      <c r="O53" s="30">
        <v>1.4</v>
      </c>
      <c r="P53" s="30"/>
      <c r="Q53" s="30">
        <v>0.2</v>
      </c>
      <c r="R53" s="30">
        <f>7850*0.138*0.05*0.02</f>
        <v>1.0833000000000004</v>
      </c>
      <c r="S53" s="30">
        <v>1.6</v>
      </c>
      <c r="T53" s="30"/>
      <c r="U53" s="30"/>
      <c r="V53" s="51"/>
      <c r="W53" s="12"/>
      <c r="X53" s="12"/>
      <c r="Y53" s="12"/>
      <c r="Z53" s="12"/>
      <c r="AA53" s="12"/>
      <c r="AB53" s="18">
        <f t="shared" si="5"/>
        <v>72.283299999999997</v>
      </c>
    </row>
    <row r="54" spans="1:28" ht="12" customHeight="1" x14ac:dyDescent="0.15">
      <c r="A54" s="67">
        <v>5</v>
      </c>
      <c r="B54" s="13" t="s">
        <v>106</v>
      </c>
      <c r="C54" s="5" t="s">
        <v>112</v>
      </c>
      <c r="D54" s="41" t="s">
        <v>120</v>
      </c>
      <c r="E54" s="41">
        <f>4*4</f>
        <v>16</v>
      </c>
      <c r="F54" s="31" t="s">
        <v>81</v>
      </c>
      <c r="G54" s="31"/>
      <c r="H54" s="30"/>
      <c r="I54" s="30">
        <f t="shared" si="6"/>
        <v>52</v>
      </c>
      <c r="J54" s="30"/>
      <c r="K54" s="30"/>
      <c r="L54" s="30"/>
      <c r="M54" s="30"/>
      <c r="N54" s="30"/>
      <c r="O54" s="30">
        <v>1.4</v>
      </c>
      <c r="P54" s="30"/>
      <c r="Q54" s="30">
        <v>0.2</v>
      </c>
      <c r="R54" s="30">
        <f>7850*0.138*0.05*0.02</f>
        <v>1.0833000000000004</v>
      </c>
      <c r="S54" s="30">
        <v>1.6</v>
      </c>
      <c r="T54" s="30"/>
      <c r="U54" s="30"/>
      <c r="V54" s="51"/>
      <c r="W54" s="12"/>
      <c r="X54" s="12"/>
      <c r="Y54" s="12"/>
      <c r="Z54" s="12"/>
      <c r="AA54" s="12"/>
      <c r="AB54" s="18">
        <f t="shared" si="5"/>
        <v>72.283299999999997</v>
      </c>
    </row>
    <row r="55" spans="1:28" ht="12" customHeight="1" x14ac:dyDescent="0.15">
      <c r="A55" s="67">
        <v>6</v>
      </c>
      <c r="B55" s="13" t="s">
        <v>34</v>
      </c>
      <c r="C55" s="5" t="s">
        <v>121</v>
      </c>
      <c r="D55" s="41" t="s">
        <v>125</v>
      </c>
      <c r="E55" s="41">
        <f>2*4</f>
        <v>8</v>
      </c>
      <c r="F55" s="31" t="s">
        <v>81</v>
      </c>
      <c r="G55" s="84">
        <f>6.4*2</f>
        <v>12.8</v>
      </c>
      <c r="H55" s="82"/>
      <c r="I55" s="82"/>
      <c r="J55" s="82">
        <f>72+32.4+32.4</f>
        <v>136.80000000000001</v>
      </c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51"/>
      <c r="W55" s="12"/>
      <c r="X55" s="12"/>
      <c r="Y55" s="12"/>
      <c r="Z55" s="12"/>
      <c r="AA55" s="12"/>
      <c r="AB55" s="18">
        <f t="shared" si="5"/>
        <v>157.60000000000002</v>
      </c>
    </row>
    <row r="56" spans="1:28" ht="12" customHeight="1" x14ac:dyDescent="0.15">
      <c r="A56" s="67">
        <v>7</v>
      </c>
      <c r="B56" s="13" t="s">
        <v>34</v>
      </c>
      <c r="C56" s="5" t="s">
        <v>122</v>
      </c>
      <c r="D56" s="41" t="s">
        <v>126</v>
      </c>
      <c r="E56" s="41">
        <f>2*4</f>
        <v>8</v>
      </c>
      <c r="F56" s="31" t="s">
        <v>81</v>
      </c>
      <c r="G56" s="84">
        <f>5*2</f>
        <v>10</v>
      </c>
      <c r="H56" s="82"/>
      <c r="I56" s="82"/>
      <c r="J56" s="82">
        <f>48.7+27.1+27.1</f>
        <v>102.9</v>
      </c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51"/>
      <c r="W56" s="12"/>
      <c r="X56" s="12"/>
      <c r="Y56" s="12"/>
      <c r="Z56" s="12"/>
      <c r="AA56" s="12"/>
      <c r="AB56" s="18">
        <f t="shared" si="5"/>
        <v>120.9</v>
      </c>
    </row>
    <row r="57" spans="1:28" ht="12" customHeight="1" x14ac:dyDescent="0.15">
      <c r="A57" s="67"/>
      <c r="B57" s="13"/>
      <c r="C57" s="5"/>
      <c r="D57" s="41"/>
      <c r="E57" s="41"/>
      <c r="F57" s="31"/>
      <c r="G57" s="31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51"/>
      <c r="W57" s="12"/>
      <c r="X57" s="12"/>
      <c r="Y57" s="12"/>
      <c r="Z57" s="12"/>
      <c r="AA57" s="12"/>
      <c r="AB57" s="18"/>
    </row>
    <row r="58" spans="1:28" ht="12" customHeight="1" x14ac:dyDescent="0.15">
      <c r="A58" s="67"/>
      <c r="B58" s="13"/>
      <c r="C58" s="5"/>
      <c r="D58" s="41"/>
      <c r="E58" s="41"/>
      <c r="F58" s="31"/>
      <c r="G58" s="31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51"/>
      <c r="W58" s="12"/>
      <c r="X58" s="12"/>
      <c r="Y58" s="12"/>
      <c r="Z58" s="12"/>
      <c r="AA58" s="12"/>
      <c r="AB58" s="18"/>
    </row>
    <row r="59" spans="1:28" ht="12" customHeight="1" x14ac:dyDescent="0.15">
      <c r="A59" s="83" t="s">
        <v>103</v>
      </c>
      <c r="B59" s="13"/>
      <c r="C59" s="5"/>
      <c r="D59" s="41"/>
      <c r="E59" s="41"/>
      <c r="F59" s="31"/>
      <c r="G59" s="31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51"/>
      <c r="W59" s="12"/>
      <c r="X59" s="12"/>
      <c r="Y59" s="12"/>
      <c r="Z59" s="12"/>
      <c r="AA59" s="12"/>
      <c r="AB59" s="85" t="s">
        <v>142</v>
      </c>
    </row>
    <row r="60" spans="1:28" ht="12" customHeight="1" x14ac:dyDescent="0.15">
      <c r="A60" s="67">
        <v>1</v>
      </c>
      <c r="B60" s="13" t="s">
        <v>97</v>
      </c>
      <c r="C60" s="5"/>
      <c r="D60" s="41" t="s">
        <v>135</v>
      </c>
      <c r="E60" s="41">
        <f>1*3</f>
        <v>3</v>
      </c>
      <c r="F60" s="31" t="s">
        <v>100</v>
      </c>
      <c r="G60" s="31"/>
      <c r="H60" s="30">
        <f>7850*0.05*0.025*135.6</f>
        <v>1330.575</v>
      </c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51"/>
      <c r="W60" s="12"/>
      <c r="X60" s="12"/>
      <c r="Y60" s="12"/>
      <c r="Z60" s="12"/>
      <c r="AA60" s="12"/>
      <c r="AB60" s="18">
        <f t="shared" ref="AB60:AB66" si="7">SUM(D60:AA60)</f>
        <v>1333.575</v>
      </c>
    </row>
    <row r="61" spans="1:28" ht="12" customHeight="1" x14ac:dyDescent="0.15">
      <c r="A61" s="67">
        <v>2</v>
      </c>
      <c r="B61" s="13" t="s">
        <v>106</v>
      </c>
      <c r="C61" s="5" t="s">
        <v>109</v>
      </c>
      <c r="D61" s="41" t="s">
        <v>117</v>
      </c>
      <c r="E61" s="41">
        <f>1*3</f>
        <v>3</v>
      </c>
      <c r="F61" s="31" t="s">
        <v>81</v>
      </c>
      <c r="G61" s="31"/>
      <c r="H61" s="30"/>
      <c r="I61" s="30">
        <v>24.6</v>
      </c>
      <c r="J61" s="30"/>
      <c r="K61" s="30"/>
      <c r="L61" s="30"/>
      <c r="M61" s="30"/>
      <c r="N61" s="30">
        <f>7850*0.21*0.05*0.006</f>
        <v>0.4945500000000001</v>
      </c>
      <c r="O61" s="30"/>
      <c r="P61" s="30">
        <v>0.9</v>
      </c>
      <c r="Q61" s="30"/>
      <c r="R61" s="30"/>
      <c r="S61" s="30"/>
      <c r="T61" s="30">
        <v>1.5</v>
      </c>
      <c r="U61" s="30"/>
      <c r="V61" s="51"/>
      <c r="W61" s="12"/>
      <c r="X61" s="12"/>
      <c r="Y61" s="12"/>
      <c r="Z61" s="12"/>
      <c r="AA61" s="12"/>
      <c r="AB61" s="18">
        <f t="shared" si="7"/>
        <v>30.49455</v>
      </c>
    </row>
    <row r="62" spans="1:28" ht="12" customHeight="1" x14ac:dyDescent="0.15">
      <c r="A62" s="67">
        <v>3</v>
      </c>
      <c r="B62" s="13" t="s">
        <v>106</v>
      </c>
      <c r="C62" s="5" t="s">
        <v>110</v>
      </c>
      <c r="D62" s="41" t="s">
        <v>118</v>
      </c>
      <c r="E62" s="41">
        <f>1*3</f>
        <v>3</v>
      </c>
      <c r="F62" s="31" t="s">
        <v>81</v>
      </c>
      <c r="G62" s="31"/>
      <c r="H62" s="30"/>
      <c r="I62" s="30">
        <v>24.6</v>
      </c>
      <c r="J62" s="30"/>
      <c r="K62" s="30"/>
      <c r="L62" s="30"/>
      <c r="M62" s="30"/>
      <c r="N62" s="30">
        <f>7850*0.21*0.05*0.006</f>
        <v>0.4945500000000001</v>
      </c>
      <c r="O62" s="30"/>
      <c r="P62" s="30">
        <v>0.9</v>
      </c>
      <c r="Q62" s="30"/>
      <c r="R62" s="30"/>
      <c r="S62" s="30"/>
      <c r="T62" s="30">
        <v>1.5</v>
      </c>
      <c r="U62" s="30"/>
      <c r="V62" s="51"/>
      <c r="W62" s="12"/>
      <c r="X62" s="12"/>
      <c r="Y62" s="12"/>
      <c r="Z62" s="12"/>
      <c r="AA62" s="12"/>
      <c r="AB62" s="18">
        <f t="shared" si="7"/>
        <v>30.49455</v>
      </c>
    </row>
    <row r="63" spans="1:28" ht="12" customHeight="1" x14ac:dyDescent="0.15">
      <c r="A63" s="67">
        <v>4</v>
      </c>
      <c r="B63" s="13" t="s">
        <v>106</v>
      </c>
      <c r="C63" s="5" t="s">
        <v>111</v>
      </c>
      <c r="D63" s="41" t="s">
        <v>119</v>
      </c>
      <c r="E63" s="41">
        <f>4*3</f>
        <v>12</v>
      </c>
      <c r="F63" s="31" t="s">
        <v>81</v>
      </c>
      <c r="G63" s="31"/>
      <c r="H63" s="30"/>
      <c r="I63" s="30">
        <f t="shared" ref="I63:I64" si="8">26*2</f>
        <v>52</v>
      </c>
      <c r="J63" s="30"/>
      <c r="K63" s="30"/>
      <c r="L63" s="30"/>
      <c r="M63" s="30"/>
      <c r="N63" s="30"/>
      <c r="O63" s="30">
        <v>1.4</v>
      </c>
      <c r="P63" s="30"/>
      <c r="Q63" s="30">
        <v>0.2</v>
      </c>
      <c r="R63" s="30">
        <f>7850*0.138*0.05*0.02</f>
        <v>1.0833000000000004</v>
      </c>
      <c r="S63" s="30">
        <v>1.6</v>
      </c>
      <c r="T63" s="30"/>
      <c r="U63" s="30"/>
      <c r="V63" s="51"/>
      <c r="W63" s="12"/>
      <c r="X63" s="12"/>
      <c r="Y63" s="12"/>
      <c r="Z63" s="12"/>
      <c r="AA63" s="12"/>
      <c r="AB63" s="18">
        <f t="shared" si="7"/>
        <v>68.283299999999997</v>
      </c>
    </row>
    <row r="64" spans="1:28" ht="12" customHeight="1" x14ac:dyDescent="0.15">
      <c r="A64" s="67">
        <v>5</v>
      </c>
      <c r="B64" s="13" t="s">
        <v>106</v>
      </c>
      <c r="C64" s="5" t="s">
        <v>112</v>
      </c>
      <c r="D64" s="41" t="s">
        <v>120</v>
      </c>
      <c r="E64" s="41">
        <f>4*3</f>
        <v>12</v>
      </c>
      <c r="F64" s="31" t="s">
        <v>81</v>
      </c>
      <c r="G64" s="31"/>
      <c r="H64" s="30"/>
      <c r="I64" s="30">
        <f t="shared" si="8"/>
        <v>52</v>
      </c>
      <c r="J64" s="30"/>
      <c r="K64" s="30"/>
      <c r="L64" s="30"/>
      <c r="M64" s="30"/>
      <c r="N64" s="30"/>
      <c r="O64" s="30">
        <v>1.4</v>
      </c>
      <c r="P64" s="30"/>
      <c r="Q64" s="30">
        <v>0.2</v>
      </c>
      <c r="R64" s="30">
        <f>7850*0.138*0.05*0.02</f>
        <v>1.0833000000000004</v>
      </c>
      <c r="S64" s="30">
        <v>1.6</v>
      </c>
      <c r="T64" s="30"/>
      <c r="U64" s="30"/>
      <c r="V64" s="51"/>
      <c r="W64" s="12"/>
      <c r="X64" s="12"/>
      <c r="Y64" s="12"/>
      <c r="Z64" s="12"/>
      <c r="AA64" s="12"/>
      <c r="AB64" s="18">
        <f t="shared" si="7"/>
        <v>68.283299999999997</v>
      </c>
    </row>
    <row r="65" spans="1:28" ht="12" customHeight="1" x14ac:dyDescent="0.15">
      <c r="A65" s="67">
        <v>6</v>
      </c>
      <c r="B65" s="13" t="s">
        <v>34</v>
      </c>
      <c r="C65" s="5" t="s">
        <v>121</v>
      </c>
      <c r="D65" s="41" t="s">
        <v>125</v>
      </c>
      <c r="E65" s="41">
        <f>2*3</f>
        <v>6</v>
      </c>
      <c r="F65" s="31" t="s">
        <v>81</v>
      </c>
      <c r="G65" s="84">
        <f>7850*0.17*0.24*0.02*2</f>
        <v>12.811199999999999</v>
      </c>
      <c r="H65" s="82"/>
      <c r="I65" s="82"/>
      <c r="J65" s="82">
        <f>32.4*2+72</f>
        <v>136.80000000000001</v>
      </c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51"/>
      <c r="W65" s="12"/>
      <c r="X65" s="12"/>
      <c r="Y65" s="12"/>
      <c r="Z65" s="12"/>
      <c r="AA65" s="12"/>
      <c r="AB65" s="18">
        <f t="shared" si="7"/>
        <v>155.6112</v>
      </c>
    </row>
    <row r="66" spans="1:28" ht="12" customHeight="1" x14ac:dyDescent="0.15">
      <c r="A66" s="67">
        <v>7</v>
      </c>
      <c r="B66" s="13" t="s">
        <v>34</v>
      </c>
      <c r="C66" s="5" t="s">
        <v>122</v>
      </c>
      <c r="D66" s="41" t="s">
        <v>126</v>
      </c>
      <c r="E66" s="41">
        <f>2*3</f>
        <v>6</v>
      </c>
      <c r="F66" s="31" t="s">
        <v>81</v>
      </c>
      <c r="G66" s="84">
        <f>7850*0.16*0.2*0.02*2</f>
        <v>10.048</v>
      </c>
      <c r="H66" s="82"/>
      <c r="I66" s="82"/>
      <c r="J66" s="82">
        <f>27.1*2+48.7</f>
        <v>102.9</v>
      </c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51"/>
      <c r="W66" s="12"/>
      <c r="X66" s="12"/>
      <c r="Y66" s="12"/>
      <c r="Z66" s="12"/>
      <c r="AA66" s="12"/>
      <c r="AB66" s="18">
        <f t="shared" si="7"/>
        <v>118.94800000000001</v>
      </c>
    </row>
    <row r="67" spans="1:28" ht="12" customHeight="1" x14ac:dyDescent="0.15">
      <c r="A67" s="67"/>
      <c r="B67" s="13"/>
      <c r="C67" s="5"/>
      <c r="D67" s="41"/>
      <c r="E67" s="41"/>
      <c r="F67" s="31"/>
      <c r="G67" s="31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51"/>
      <c r="W67" s="12"/>
      <c r="X67" s="12"/>
      <c r="Y67" s="12"/>
      <c r="Z67" s="12"/>
      <c r="AA67" s="12"/>
      <c r="AB67" s="18"/>
    </row>
    <row r="68" spans="1:28" ht="12" customHeight="1" x14ac:dyDescent="0.15">
      <c r="A68" s="67"/>
      <c r="B68" s="13"/>
      <c r="C68" s="5"/>
      <c r="D68" s="41"/>
      <c r="E68" s="41"/>
      <c r="F68" s="31"/>
      <c r="G68" s="31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51"/>
      <c r="W68" s="12"/>
      <c r="X68" s="12"/>
      <c r="Y68" s="12"/>
      <c r="Z68" s="12"/>
      <c r="AA68" s="12"/>
      <c r="AB68" s="18"/>
    </row>
    <row r="69" spans="1:28" ht="12" customHeight="1" x14ac:dyDescent="0.15">
      <c r="A69" s="83" t="s">
        <v>123</v>
      </c>
      <c r="B69" s="13"/>
      <c r="C69" s="5"/>
      <c r="D69" s="41"/>
      <c r="E69" s="41"/>
      <c r="F69" s="31"/>
      <c r="G69" s="31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51"/>
      <c r="W69" s="12"/>
      <c r="X69" s="12"/>
      <c r="Y69" s="12"/>
      <c r="Z69" s="12"/>
      <c r="AA69" s="12"/>
      <c r="AB69" s="85" t="s">
        <v>143</v>
      </c>
    </row>
    <row r="70" spans="1:28" ht="12" customHeight="1" x14ac:dyDescent="0.15">
      <c r="A70" s="67">
        <v>1</v>
      </c>
      <c r="B70" s="13" t="s">
        <v>97</v>
      </c>
      <c r="C70" s="5"/>
      <c r="D70" s="41" t="s">
        <v>136</v>
      </c>
      <c r="E70" s="41">
        <f>1*12</f>
        <v>12</v>
      </c>
      <c r="F70" s="31" t="s">
        <v>100</v>
      </c>
      <c r="G70" s="31"/>
      <c r="H70" s="30">
        <f>7850*0.05*0.025*135.6</f>
        <v>1330.575</v>
      </c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51"/>
      <c r="W70" s="12"/>
      <c r="X70" s="12"/>
      <c r="Y70" s="12"/>
      <c r="Z70" s="12"/>
      <c r="AA70" s="12"/>
      <c r="AB70" s="18">
        <f t="shared" ref="AB70:AB76" si="9">SUM(D70:AA70)</f>
        <v>1342.575</v>
      </c>
    </row>
    <row r="71" spans="1:28" ht="12" customHeight="1" x14ac:dyDescent="0.15">
      <c r="A71" s="67">
        <v>2</v>
      </c>
      <c r="B71" s="13" t="s">
        <v>106</v>
      </c>
      <c r="C71" s="5" t="s">
        <v>109</v>
      </c>
      <c r="D71" s="41" t="s">
        <v>117</v>
      </c>
      <c r="E71" s="41">
        <f>1*12</f>
        <v>12</v>
      </c>
      <c r="F71" s="31" t="s">
        <v>81</v>
      </c>
      <c r="G71" s="31"/>
      <c r="H71" s="30"/>
      <c r="I71" s="30">
        <v>24.6</v>
      </c>
      <c r="J71" s="30"/>
      <c r="K71" s="30"/>
      <c r="L71" s="30"/>
      <c r="M71" s="30"/>
      <c r="N71" s="30">
        <f>7850*0.21*0.05*0.006</f>
        <v>0.4945500000000001</v>
      </c>
      <c r="O71" s="30"/>
      <c r="P71" s="30">
        <v>0.9</v>
      </c>
      <c r="Q71" s="30"/>
      <c r="R71" s="30"/>
      <c r="S71" s="30"/>
      <c r="T71" s="30">
        <v>1.5</v>
      </c>
      <c r="U71" s="30"/>
      <c r="V71" s="51"/>
      <c r="W71" s="12"/>
      <c r="X71" s="12"/>
      <c r="Y71" s="12"/>
      <c r="Z71" s="12"/>
      <c r="AA71" s="12"/>
      <c r="AB71" s="18">
        <f t="shared" si="9"/>
        <v>39.494549999999997</v>
      </c>
    </row>
    <row r="72" spans="1:28" ht="12" customHeight="1" x14ac:dyDescent="0.15">
      <c r="A72" s="67">
        <v>3</v>
      </c>
      <c r="B72" s="13" t="s">
        <v>106</v>
      </c>
      <c r="C72" s="5" t="s">
        <v>110</v>
      </c>
      <c r="D72" s="41" t="s">
        <v>118</v>
      </c>
      <c r="E72" s="41">
        <f>1*12</f>
        <v>12</v>
      </c>
      <c r="F72" s="31" t="s">
        <v>81</v>
      </c>
      <c r="G72" s="31"/>
      <c r="H72" s="30"/>
      <c r="I72" s="30">
        <v>24.6</v>
      </c>
      <c r="J72" s="30"/>
      <c r="K72" s="30"/>
      <c r="L72" s="30"/>
      <c r="M72" s="30"/>
      <c r="N72" s="30">
        <f>7850*0.21*0.05*0.006</f>
        <v>0.4945500000000001</v>
      </c>
      <c r="O72" s="30"/>
      <c r="P72" s="30">
        <v>0.9</v>
      </c>
      <c r="Q72" s="30"/>
      <c r="R72" s="30"/>
      <c r="S72" s="30"/>
      <c r="T72" s="30">
        <v>1.5</v>
      </c>
      <c r="U72" s="30"/>
      <c r="V72" s="51"/>
      <c r="W72" s="12"/>
      <c r="X72" s="12"/>
      <c r="Y72" s="12"/>
      <c r="Z72" s="12"/>
      <c r="AA72" s="12"/>
      <c r="AB72" s="18">
        <f t="shared" si="9"/>
        <v>39.494549999999997</v>
      </c>
    </row>
    <row r="73" spans="1:28" ht="12" customHeight="1" x14ac:dyDescent="0.15">
      <c r="A73" s="67">
        <v>4</v>
      </c>
      <c r="B73" s="13" t="s">
        <v>106</v>
      </c>
      <c r="C73" s="5" t="s">
        <v>111</v>
      </c>
      <c r="D73" s="41" t="s">
        <v>119</v>
      </c>
      <c r="E73" s="41">
        <f>4*12</f>
        <v>48</v>
      </c>
      <c r="F73" s="31" t="s">
        <v>81</v>
      </c>
      <c r="G73" s="31"/>
      <c r="H73" s="30"/>
      <c r="I73" s="30">
        <f t="shared" ref="I73:I74" si="10">26*2</f>
        <v>52</v>
      </c>
      <c r="J73" s="30"/>
      <c r="K73" s="30"/>
      <c r="L73" s="30"/>
      <c r="M73" s="30"/>
      <c r="N73" s="30"/>
      <c r="O73" s="30">
        <v>1.4</v>
      </c>
      <c r="P73" s="30"/>
      <c r="Q73" s="30">
        <v>0.2</v>
      </c>
      <c r="R73" s="30">
        <f>7850*0.138*0.05*0.02</f>
        <v>1.0833000000000004</v>
      </c>
      <c r="S73" s="30">
        <v>1.6</v>
      </c>
      <c r="T73" s="30"/>
      <c r="U73" s="30"/>
      <c r="V73" s="51"/>
      <c r="W73" s="12"/>
      <c r="X73" s="12"/>
      <c r="Y73" s="12"/>
      <c r="Z73" s="12"/>
      <c r="AA73" s="12"/>
      <c r="AB73" s="18">
        <f t="shared" si="9"/>
        <v>104.2833</v>
      </c>
    </row>
    <row r="74" spans="1:28" ht="12" customHeight="1" x14ac:dyDescent="0.15">
      <c r="A74" s="67">
        <v>5</v>
      </c>
      <c r="B74" s="13" t="s">
        <v>106</v>
      </c>
      <c r="C74" s="5" t="s">
        <v>112</v>
      </c>
      <c r="D74" s="41" t="s">
        <v>120</v>
      </c>
      <c r="E74" s="41">
        <f>4*12</f>
        <v>48</v>
      </c>
      <c r="F74" s="31" t="s">
        <v>81</v>
      </c>
      <c r="G74" s="31"/>
      <c r="H74" s="30"/>
      <c r="I74" s="30">
        <f t="shared" si="10"/>
        <v>52</v>
      </c>
      <c r="J74" s="30"/>
      <c r="K74" s="30"/>
      <c r="L74" s="30"/>
      <c r="M74" s="30"/>
      <c r="N74" s="30"/>
      <c r="O74" s="30">
        <v>1.4</v>
      </c>
      <c r="P74" s="30"/>
      <c r="Q74" s="30">
        <v>0.2</v>
      </c>
      <c r="R74" s="30">
        <f>7850*0.138*0.05*0.02</f>
        <v>1.0833000000000004</v>
      </c>
      <c r="S74" s="30">
        <v>1.6</v>
      </c>
      <c r="T74" s="30"/>
      <c r="U74" s="30"/>
      <c r="V74" s="51"/>
      <c r="W74" s="12"/>
      <c r="X74" s="12"/>
      <c r="Y74" s="12"/>
      <c r="Z74" s="12"/>
      <c r="AA74" s="12"/>
      <c r="AB74" s="18">
        <f t="shared" si="9"/>
        <v>104.2833</v>
      </c>
    </row>
    <row r="75" spans="1:28" ht="12" customHeight="1" x14ac:dyDescent="0.15">
      <c r="A75" s="67">
        <v>6</v>
      </c>
      <c r="B75" s="13" t="s">
        <v>34</v>
      </c>
      <c r="C75" s="5" t="s">
        <v>121</v>
      </c>
      <c r="D75" s="41" t="s">
        <v>125</v>
      </c>
      <c r="E75" s="41">
        <f>2*12</f>
        <v>24</v>
      </c>
      <c r="F75" s="31" t="s">
        <v>81</v>
      </c>
      <c r="G75" s="84">
        <f>7850*0.17*0.24*0.02*2</f>
        <v>12.811199999999999</v>
      </c>
      <c r="H75" s="82"/>
      <c r="I75" s="82"/>
      <c r="J75" s="82">
        <f>32.4*2+72</f>
        <v>136.80000000000001</v>
      </c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51"/>
      <c r="W75" s="12"/>
      <c r="X75" s="12"/>
      <c r="Y75" s="12"/>
      <c r="Z75" s="12"/>
      <c r="AA75" s="12"/>
      <c r="AB75" s="18">
        <f t="shared" si="9"/>
        <v>173.6112</v>
      </c>
    </row>
    <row r="76" spans="1:28" ht="12" customHeight="1" x14ac:dyDescent="0.15">
      <c r="A76" s="67">
        <v>7</v>
      </c>
      <c r="B76" s="13" t="s">
        <v>34</v>
      </c>
      <c r="C76" s="5" t="s">
        <v>122</v>
      </c>
      <c r="D76" s="41" t="s">
        <v>126</v>
      </c>
      <c r="E76" s="41">
        <f>2*12</f>
        <v>24</v>
      </c>
      <c r="F76" s="31" t="s">
        <v>81</v>
      </c>
      <c r="G76" s="84">
        <f>7850*0.16*0.2*0.02*2</f>
        <v>10.048</v>
      </c>
      <c r="H76" s="82"/>
      <c r="I76" s="82"/>
      <c r="J76" s="82">
        <f>27.1*2+48.7</f>
        <v>102.9</v>
      </c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51"/>
      <c r="W76" s="12"/>
      <c r="X76" s="12"/>
      <c r="Y76" s="12"/>
      <c r="Z76" s="12"/>
      <c r="AA76" s="12"/>
      <c r="AB76" s="18">
        <f t="shared" si="9"/>
        <v>136.94800000000001</v>
      </c>
    </row>
    <row r="77" spans="1:28" ht="12" customHeight="1" x14ac:dyDescent="0.15">
      <c r="A77" s="67"/>
      <c r="B77" s="13"/>
      <c r="C77" s="5"/>
      <c r="D77" s="41"/>
      <c r="E77" s="41"/>
      <c r="F77" s="31"/>
      <c r="G77" s="31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51"/>
      <c r="W77" s="12"/>
      <c r="X77" s="12"/>
      <c r="Y77" s="12"/>
      <c r="Z77" s="12"/>
      <c r="AA77" s="12"/>
      <c r="AB77" s="18"/>
    </row>
    <row r="78" spans="1:28" ht="12" customHeight="1" x14ac:dyDescent="0.15">
      <c r="A78" s="83" t="s">
        <v>124</v>
      </c>
      <c r="B78" s="13"/>
      <c r="C78" s="5"/>
      <c r="D78" s="41"/>
      <c r="E78" s="41"/>
      <c r="F78" s="31"/>
      <c r="G78" s="31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51"/>
      <c r="W78" s="12"/>
      <c r="X78" s="12"/>
      <c r="Y78" s="12"/>
      <c r="Z78" s="12"/>
      <c r="AA78" s="12"/>
      <c r="AB78" s="85" t="s">
        <v>144</v>
      </c>
    </row>
    <row r="79" spans="1:28" ht="12" customHeight="1" x14ac:dyDescent="0.15">
      <c r="A79" s="67">
        <v>1</v>
      </c>
      <c r="B79" s="13" t="s">
        <v>97</v>
      </c>
      <c r="C79" s="5"/>
      <c r="D79" s="41" t="s">
        <v>138</v>
      </c>
      <c r="E79" s="41">
        <v>1</v>
      </c>
      <c r="F79" s="31" t="s">
        <v>100</v>
      </c>
      <c r="G79" s="31"/>
      <c r="H79" s="30">
        <f>7850*0.05*0.025*137</f>
        <v>1344.3125</v>
      </c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51"/>
      <c r="W79" s="12"/>
      <c r="X79" s="12"/>
      <c r="Y79" s="12"/>
      <c r="Z79" s="12"/>
      <c r="AA79" s="12"/>
      <c r="AB79" s="18">
        <f t="shared" ref="AB79:AB85" si="11">SUM(D79:AA79)</f>
        <v>1345.3125</v>
      </c>
    </row>
    <row r="80" spans="1:28" ht="12" customHeight="1" x14ac:dyDescent="0.15">
      <c r="A80" s="67">
        <v>2</v>
      </c>
      <c r="B80" s="13" t="s">
        <v>106</v>
      </c>
      <c r="C80" s="5" t="s">
        <v>109</v>
      </c>
      <c r="D80" s="41" t="s">
        <v>117</v>
      </c>
      <c r="E80" s="41">
        <v>1</v>
      </c>
      <c r="F80" s="31" t="s">
        <v>81</v>
      </c>
      <c r="G80" s="31"/>
      <c r="H80" s="30"/>
      <c r="I80" s="30">
        <v>24.6</v>
      </c>
      <c r="J80" s="30"/>
      <c r="K80" s="30"/>
      <c r="L80" s="30"/>
      <c r="M80" s="30"/>
      <c r="N80" s="30">
        <f>7850*0.21*0.05*0.006</f>
        <v>0.4945500000000001</v>
      </c>
      <c r="O80" s="30"/>
      <c r="P80" s="30">
        <v>0.9</v>
      </c>
      <c r="Q80" s="30"/>
      <c r="R80" s="30"/>
      <c r="S80" s="30"/>
      <c r="T80" s="30">
        <v>1.5</v>
      </c>
      <c r="U80" s="30"/>
      <c r="V80" s="51"/>
      <c r="W80" s="12"/>
      <c r="X80" s="12"/>
      <c r="Y80" s="12"/>
      <c r="Z80" s="12"/>
      <c r="AA80" s="12"/>
      <c r="AB80" s="18">
        <f t="shared" si="11"/>
        <v>28.49455</v>
      </c>
    </row>
    <row r="81" spans="1:29" ht="12" customHeight="1" x14ac:dyDescent="0.15">
      <c r="A81" s="67">
        <v>3</v>
      </c>
      <c r="B81" s="13" t="s">
        <v>106</v>
      </c>
      <c r="C81" s="5" t="s">
        <v>110</v>
      </c>
      <c r="D81" s="41" t="s">
        <v>118</v>
      </c>
      <c r="E81" s="41">
        <v>1</v>
      </c>
      <c r="F81" s="31" t="s">
        <v>81</v>
      </c>
      <c r="G81" s="31"/>
      <c r="H81" s="30"/>
      <c r="I81" s="30">
        <v>24.6</v>
      </c>
      <c r="J81" s="30"/>
      <c r="K81" s="30"/>
      <c r="L81" s="30"/>
      <c r="M81" s="30"/>
      <c r="N81" s="30">
        <f>7850*0.21*0.05*0.006</f>
        <v>0.4945500000000001</v>
      </c>
      <c r="O81" s="30"/>
      <c r="P81" s="30">
        <v>0.9</v>
      </c>
      <c r="Q81" s="30"/>
      <c r="R81" s="30"/>
      <c r="S81" s="30"/>
      <c r="T81" s="30">
        <v>1.5</v>
      </c>
      <c r="U81" s="30"/>
      <c r="V81" s="51"/>
      <c r="W81" s="12"/>
      <c r="X81" s="12"/>
      <c r="Y81" s="12"/>
      <c r="Z81" s="12"/>
      <c r="AA81" s="12"/>
      <c r="AB81" s="18">
        <f t="shared" si="11"/>
        <v>28.49455</v>
      </c>
    </row>
    <row r="82" spans="1:29" ht="12" customHeight="1" x14ac:dyDescent="0.15">
      <c r="A82" s="67">
        <v>4</v>
      </c>
      <c r="B82" s="13" t="s">
        <v>106</v>
      </c>
      <c r="C82" s="5" t="s">
        <v>111</v>
      </c>
      <c r="D82" s="41" t="s">
        <v>119</v>
      </c>
      <c r="E82" s="41">
        <v>4</v>
      </c>
      <c r="F82" s="31" t="s">
        <v>81</v>
      </c>
      <c r="G82" s="31"/>
      <c r="H82" s="30"/>
      <c r="I82" s="30">
        <f t="shared" ref="I82:I83" si="12">26*2</f>
        <v>52</v>
      </c>
      <c r="J82" s="30"/>
      <c r="K82" s="30"/>
      <c r="L82" s="30"/>
      <c r="M82" s="30"/>
      <c r="N82" s="30"/>
      <c r="O82" s="30">
        <v>1.4</v>
      </c>
      <c r="P82" s="30"/>
      <c r="Q82" s="30">
        <v>0.2</v>
      </c>
      <c r="R82" s="30">
        <f>7850*0.138*0.05*0.02</f>
        <v>1.0833000000000004</v>
      </c>
      <c r="S82" s="30">
        <v>1.6</v>
      </c>
      <c r="T82" s="30"/>
      <c r="U82" s="30"/>
      <c r="V82" s="51"/>
      <c r="W82" s="12"/>
      <c r="X82" s="12"/>
      <c r="Y82" s="12"/>
      <c r="Z82" s="12"/>
      <c r="AA82" s="12"/>
      <c r="AB82" s="18">
        <f t="shared" si="11"/>
        <v>60.283300000000004</v>
      </c>
    </row>
    <row r="83" spans="1:29" ht="12" customHeight="1" x14ac:dyDescent="0.15">
      <c r="A83" s="67">
        <v>5</v>
      </c>
      <c r="B83" s="13" t="s">
        <v>106</v>
      </c>
      <c r="C83" s="5" t="s">
        <v>112</v>
      </c>
      <c r="D83" s="41" t="s">
        <v>120</v>
      </c>
      <c r="E83" s="41">
        <v>4</v>
      </c>
      <c r="F83" s="31" t="s">
        <v>81</v>
      </c>
      <c r="G83" s="31"/>
      <c r="H83" s="30"/>
      <c r="I83" s="30">
        <f t="shared" si="12"/>
        <v>52</v>
      </c>
      <c r="J83" s="30"/>
      <c r="K83" s="30"/>
      <c r="L83" s="30"/>
      <c r="M83" s="30"/>
      <c r="N83" s="30"/>
      <c r="O83" s="30">
        <v>1.4</v>
      </c>
      <c r="P83" s="30"/>
      <c r="Q83" s="30">
        <v>0.2</v>
      </c>
      <c r="R83" s="30">
        <f>7850*0.138*0.05*0.02</f>
        <v>1.0833000000000004</v>
      </c>
      <c r="S83" s="30">
        <v>1.6</v>
      </c>
      <c r="T83" s="30"/>
      <c r="U83" s="30"/>
      <c r="V83" s="51"/>
      <c r="W83" s="12"/>
      <c r="X83" s="12"/>
      <c r="Y83" s="12"/>
      <c r="Z83" s="12"/>
      <c r="AA83" s="12"/>
      <c r="AB83" s="18">
        <f t="shared" si="11"/>
        <v>60.283300000000004</v>
      </c>
    </row>
    <row r="84" spans="1:29" ht="12" customHeight="1" x14ac:dyDescent="0.15">
      <c r="A84" s="67">
        <v>6</v>
      </c>
      <c r="B84" s="13" t="s">
        <v>34</v>
      </c>
      <c r="C84" s="5" t="s">
        <v>121</v>
      </c>
      <c r="D84" s="41" t="s">
        <v>125</v>
      </c>
      <c r="E84" s="41">
        <v>2</v>
      </c>
      <c r="F84" s="31" t="s">
        <v>81</v>
      </c>
      <c r="G84" s="84">
        <f>7850*0.17*0.24*0.02*2</f>
        <v>12.811199999999999</v>
      </c>
      <c r="H84" s="82"/>
      <c r="I84" s="82"/>
      <c r="J84" s="82">
        <f>32.4*2+72</f>
        <v>136.80000000000001</v>
      </c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51"/>
      <c r="W84" s="12"/>
      <c r="X84" s="12"/>
      <c r="Y84" s="12"/>
      <c r="Z84" s="12"/>
      <c r="AA84" s="12"/>
      <c r="AB84" s="18">
        <f t="shared" si="11"/>
        <v>151.6112</v>
      </c>
    </row>
    <row r="85" spans="1:29" ht="12" customHeight="1" x14ac:dyDescent="0.15">
      <c r="A85" s="67">
        <v>7</v>
      </c>
      <c r="B85" s="13" t="s">
        <v>34</v>
      </c>
      <c r="C85" s="5" t="s">
        <v>122</v>
      </c>
      <c r="D85" s="41" t="s">
        <v>126</v>
      </c>
      <c r="E85" s="41">
        <v>2</v>
      </c>
      <c r="F85" s="31" t="s">
        <v>81</v>
      </c>
      <c r="G85" s="84">
        <f>7850*0.16*0.2*0.02*2</f>
        <v>10.048</v>
      </c>
      <c r="H85" s="82"/>
      <c r="I85" s="82"/>
      <c r="J85" s="82">
        <f>27.1*2+48.7</f>
        <v>102.9</v>
      </c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51"/>
      <c r="W85" s="12"/>
      <c r="X85" s="12"/>
      <c r="Y85" s="12"/>
      <c r="Z85" s="12"/>
      <c r="AA85" s="12"/>
      <c r="AB85" s="18">
        <f t="shared" si="11"/>
        <v>114.94800000000001</v>
      </c>
    </row>
    <row r="86" spans="1:29" ht="12" customHeight="1" x14ac:dyDescent="0.15">
      <c r="A86" s="67"/>
      <c r="B86" s="13"/>
      <c r="C86" s="5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52"/>
      <c r="W86" s="14"/>
      <c r="X86" s="14"/>
      <c r="Y86" s="14"/>
      <c r="Z86" s="14"/>
      <c r="AA86" s="14"/>
      <c r="AB86" s="18"/>
      <c r="AC86" s="18"/>
    </row>
    <row r="87" spans="1:29" ht="12" customHeight="1" x14ac:dyDescent="0.15">
      <c r="A87" s="25"/>
      <c r="B87" s="26"/>
      <c r="C87" s="64" t="s">
        <v>11</v>
      </c>
      <c r="D87" s="69">
        <f>SUM(D13:D86)</f>
        <v>0</v>
      </c>
      <c r="E87" s="69"/>
      <c r="F87" s="42"/>
      <c r="G87" s="42" cm="1">
        <f t="array" ref="G87">+SUM($E$13:$E$86*G13:G86)</f>
        <v>1045.0944</v>
      </c>
      <c r="H87" s="42" cm="1">
        <f t="array" ref="H87">+SUM($E$13:$E$86*H13:H86)</f>
        <v>27955.8125</v>
      </c>
      <c r="I87" s="42" cm="1">
        <f t="array" ref="I87">+SUM($E$13:$E$86*I13:I86)</f>
        <v>11531.6</v>
      </c>
      <c r="J87" s="42" cm="1">
        <f t="array" ref="J87">+SUM($E$13:$E$86*J13:J86)</f>
        <v>10958.400000000001</v>
      </c>
      <c r="K87" s="42" cm="1">
        <f t="array" ref="K87">+SUM($E$13:$E$86*K13:K86)</f>
        <v>132</v>
      </c>
      <c r="L87" s="42" cm="1">
        <f t="array" ref="L87">+SUM($E$13:$E$86*L13:L86)</f>
        <v>134.39999999999998</v>
      </c>
      <c r="M87" s="42" cm="1">
        <f t="array" ref="M87">+SUM($E$13:$E$86*M13:M86)</f>
        <v>1462.6999999999998</v>
      </c>
      <c r="N87" s="42" cm="1">
        <f t="array" ref="N87">+SUM($E$13:$E$86*N13:N86)</f>
        <v>22.754750000000005</v>
      </c>
      <c r="O87" s="42" cm="1">
        <f t="array" ref="O87">+SUM($E$13:$E$86*O13:O86)</f>
        <v>280</v>
      </c>
      <c r="P87" s="42" cm="1">
        <f t="array" ref="P87">+SUM($E$13:$E$86*P13:P86)</f>
        <v>41.4</v>
      </c>
      <c r="Q87" s="42" cm="1">
        <f t="array" ref="Q87">+SUM($E$13:$E$86*Q13:Q86)</f>
        <v>39.999999999999993</v>
      </c>
      <c r="R87" s="42" cm="1">
        <f t="array" ref="R87">+SUM($E$13:$E$86*R13:R86)</f>
        <v>216.92720000000008</v>
      </c>
      <c r="S87" s="42" cm="1">
        <f t="array" ref="S87">+SUM($E$13:$E$86*S13:S86)</f>
        <v>319.99999999999994</v>
      </c>
      <c r="T87" s="42" cm="1">
        <f t="array" ref="T87">+SUM($E$13:$E$86*T13:T86)</f>
        <v>69</v>
      </c>
      <c r="U87" s="42"/>
      <c r="V87" s="42" cm="1">
        <f t="array" ref="V87">+SUM($E13:$E86*V13:V86)</f>
        <v>0</v>
      </c>
      <c r="W87" s="42" cm="1">
        <f t="array" ref="W87">+SUM($E13:$E86*W13:W86)</f>
        <v>0</v>
      </c>
      <c r="X87" s="42" cm="1">
        <f t="array" ref="X87">+SUM($E13:$E86*X13:X86)</f>
        <v>0</v>
      </c>
      <c r="Y87" s="42" cm="1">
        <f t="array" ref="Y87">+SUM($E13:$E86*Y13:Y86)</f>
        <v>0</v>
      </c>
      <c r="Z87" s="42" cm="1">
        <f t="array" ref="Z87">+SUM($E13:$E86*Z13:Z86)</f>
        <v>0</v>
      </c>
      <c r="AA87" s="42" cm="1">
        <f t="array" ref="AA87">+SUM($E13:$E86*AA13:AA86)</f>
        <v>0</v>
      </c>
      <c r="AB87" s="85">
        <f>SUM(D87:AA87)</f>
        <v>54210.08885</v>
      </c>
    </row>
    <row r="88" spans="1:29" ht="12" customHeight="1" x14ac:dyDescent="0.2">
      <c r="A88" s="15" t="s">
        <v>7</v>
      </c>
      <c r="B88" s="15"/>
      <c r="C88" s="65"/>
      <c r="D88" s="22"/>
      <c r="E88" s="22"/>
      <c r="F88" s="22"/>
      <c r="G88" s="22"/>
      <c r="H88" s="43"/>
      <c r="I88" s="43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53"/>
      <c r="W88" s="20"/>
      <c r="X88" s="20"/>
      <c r="Y88" s="20"/>
      <c r="Z88" s="20"/>
      <c r="AA88" s="20"/>
    </row>
    <row r="89" spans="1:29" ht="12" customHeight="1" x14ac:dyDescent="0.2">
      <c r="A89" s="15"/>
      <c r="B89" s="16" t="s">
        <v>8</v>
      </c>
      <c r="C89" s="66"/>
      <c r="D89" s="17"/>
      <c r="E89" s="17"/>
      <c r="F89" s="17"/>
      <c r="G89" s="17"/>
      <c r="H89" s="44"/>
      <c r="I89" s="44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54"/>
      <c r="W89" s="20"/>
      <c r="X89" s="20"/>
      <c r="Y89" s="20"/>
      <c r="Z89" s="20"/>
      <c r="AA89" s="20"/>
    </row>
    <row r="90" spans="1:29" ht="12" customHeight="1" x14ac:dyDescent="0.2">
      <c r="A90" s="15"/>
      <c r="B90" s="16" t="s">
        <v>9</v>
      </c>
      <c r="C90" s="65"/>
      <c r="D90" s="22"/>
      <c r="E90" s="22"/>
      <c r="F90" s="22"/>
      <c r="G90" s="22"/>
      <c r="H90" s="43"/>
      <c r="I90" s="43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53"/>
      <c r="W90" s="20"/>
      <c r="X90" s="20"/>
      <c r="Y90" s="20"/>
      <c r="Z90" s="20"/>
      <c r="AA90" s="20"/>
    </row>
  </sheetData>
  <phoneticPr fontId="0" type="noConversion"/>
  <conditionalFormatting sqref="K10:K15 B50 A10:G13 A58:G59 A68:G68 B57:G57 B25:G25 D14:G16 A14:B16 A17:C20 I10:I11 I12:J15 J16 I23:K25 A23:G24 A21:A22 F21:F22 M23:M25 M10:M19 F35:G37 U51:AA54 I57:XFD59 A50:A57 A86:G87 I35:N37 I78:AA78 B55:F56 A47:XFD49 B67:XFD67 B77:XFD77 B84:AA85 I86:XFD87 X22:AA22 T22:V22 T23:XFD23 T24:V25 U29:AA33 X24:XFD24 U26:V28 E17:G20 I46:N46 F46:G46 I17:K19 T10:XFD12 K33:N34 F33:F34 X25:AA28 T14:XFD20 T13:AA13 AC13:XFD13 T21:AA21 AB21:XFD22 AC25:XFD33 D50:AA50 K55:AA56 AC50:XFD56 B65:AA66 AC65:XFD66 U71:AA74 I68:XFD69 B75:AA76 AC71:XFD76 AC78:XFD78 AC84:XFD85">
    <cfRule type="expression" dxfId="212" priority="337">
      <formula>OR(COLUMN(A10)=CELL("col"),ROW(A10)=CELL("row"))</formula>
    </cfRule>
  </conditionalFormatting>
  <conditionalFormatting sqref="K16">
    <cfRule type="expression" dxfId="211" priority="301">
      <formula>OR(COLUMN(K16)=CELL("col"),ROW(K16)=CELL("row"))</formula>
    </cfRule>
  </conditionalFormatting>
  <conditionalFormatting sqref="J10:J11">
    <cfRule type="expression" dxfId="210" priority="300">
      <formula>OR(COLUMN(J10)=CELL("col"),ROW(J10)=CELL("row"))</formula>
    </cfRule>
  </conditionalFormatting>
  <conditionalFormatting sqref="A25">
    <cfRule type="expression" dxfId="209" priority="269">
      <formula>OR(COLUMN(A25)=CELL("col"),ROW(A25)=CELL("row"))</formula>
    </cfRule>
  </conditionalFormatting>
  <conditionalFormatting sqref="C14:C16">
    <cfRule type="expression" dxfId="208" priority="264">
      <formula>OR(COLUMN(C14)=CELL("col"),ROW(C14)=CELL("row"))</formula>
    </cfRule>
  </conditionalFormatting>
  <conditionalFormatting sqref="A35:A37 A46">
    <cfRule type="expression" dxfId="207" priority="263">
      <formula>OR(COLUMN(A35)=CELL("col"),ROW(A35)=CELL("row"))</formula>
    </cfRule>
  </conditionalFormatting>
  <conditionalFormatting sqref="L10:L19 L23:L25">
    <cfRule type="expression" dxfId="206" priority="204">
      <formula>OR(COLUMN(L10)=CELL("col"),ROW(L10)=CELL("row"))</formula>
    </cfRule>
  </conditionalFormatting>
  <conditionalFormatting sqref="C50">
    <cfRule type="expression" dxfId="205" priority="221">
      <formula>OR(COLUMN(C50)=CELL("col"),ROW(C50)=CELL("row"))</formula>
    </cfRule>
  </conditionalFormatting>
  <conditionalFormatting sqref="R10:R19 R23:R25 P17:Q18">
    <cfRule type="expression" dxfId="204" priority="219">
      <formula>OR(COLUMN(P10)=CELL("col"),ROW(P10)=CELL("row"))</formula>
    </cfRule>
  </conditionalFormatting>
  <conditionalFormatting sqref="Q10:Q16 Q19 Q23:Q25">
    <cfRule type="expression" dxfId="203" priority="218">
      <formula>OR(COLUMN(Q10)=CELL("col"),ROW(Q10)=CELL("row"))</formula>
    </cfRule>
  </conditionalFormatting>
  <conditionalFormatting sqref="O10:O19 O23:O25">
    <cfRule type="expression" dxfId="202" priority="217">
      <formula>OR(COLUMN(O10)=CELL("col"),ROW(O10)=CELL("row"))</formula>
    </cfRule>
  </conditionalFormatting>
  <conditionalFormatting sqref="N10:N19 N23:N25">
    <cfRule type="expression" dxfId="201" priority="216">
      <formula>OR(COLUMN(N10)=CELL("col"),ROW(N10)=CELL("row"))</formula>
    </cfRule>
  </conditionalFormatting>
  <conditionalFormatting sqref="P10:P16 P19 P23:P25">
    <cfRule type="expression" dxfId="200" priority="215">
      <formula>OR(COLUMN(P10)=CELL("col"),ROW(P10)=CELL("row"))</formula>
    </cfRule>
  </conditionalFormatting>
  <conditionalFormatting sqref="S10:S19 S23:S25">
    <cfRule type="expression" dxfId="199" priority="214">
      <formula>OR(COLUMN(S10)=CELL("col"),ROW(S10)=CELL("row"))</formula>
    </cfRule>
  </conditionalFormatting>
  <conditionalFormatting sqref="B22:E22 I22:K22 G22 B21:C21 E21 M21:M22 K21">
    <cfRule type="expression" dxfId="198" priority="213">
      <formula>OR(COLUMN(B21)=CELL("col"),ROW(B21)=CELL("row"))</formula>
    </cfRule>
  </conditionalFormatting>
  <conditionalFormatting sqref="R21:R22">
    <cfRule type="expression" dxfId="197" priority="211">
      <formula>OR(COLUMN(R21)=CELL("col"),ROW(R21)=CELL("row"))</formula>
    </cfRule>
  </conditionalFormatting>
  <conditionalFormatting sqref="Q21:Q22">
    <cfRule type="expression" dxfId="196" priority="210">
      <formula>OR(COLUMN(Q21)=CELL("col"),ROW(Q21)=CELL("row"))</formula>
    </cfRule>
  </conditionalFormatting>
  <conditionalFormatting sqref="O21:O22">
    <cfRule type="expression" dxfId="195" priority="209">
      <formula>OR(COLUMN(O21)=CELL("col"),ROW(O21)=CELL("row"))</formula>
    </cfRule>
  </conditionalFormatting>
  <conditionalFormatting sqref="N21:N22">
    <cfRule type="expression" dxfId="194" priority="208">
      <formula>OR(COLUMN(N21)=CELL("col"),ROW(N21)=CELL("row"))</formula>
    </cfRule>
  </conditionalFormatting>
  <conditionalFormatting sqref="P21:P22">
    <cfRule type="expression" dxfId="193" priority="207">
      <formula>OR(COLUMN(P21)=CELL("col"),ROW(P21)=CELL("row"))</formula>
    </cfRule>
  </conditionalFormatting>
  <conditionalFormatting sqref="S21:S22">
    <cfRule type="expression" dxfId="192" priority="206">
      <formula>OR(COLUMN(S21)=CELL("col"),ROW(S21)=CELL("row"))</formula>
    </cfRule>
  </conditionalFormatting>
  <conditionalFormatting sqref="D21">
    <cfRule type="expression" dxfId="191" priority="205">
      <formula>OR(COLUMN(D21)=CELL("col"),ROW(D21)=CELL("row"))</formula>
    </cfRule>
  </conditionalFormatting>
  <conditionalFormatting sqref="R33:R34">
    <cfRule type="expression" dxfId="190" priority="180">
      <formula>OR(COLUMN(R33)=CELL("col"),ROW(R33)=CELL("row"))</formula>
    </cfRule>
  </conditionalFormatting>
  <conditionalFormatting sqref="L21:L22">
    <cfRule type="expression" dxfId="189" priority="203">
      <formula>OR(COLUMN(L21)=CELL("col"),ROW(L21)=CELL("row"))</formula>
    </cfRule>
  </conditionalFormatting>
  <conditionalFormatting sqref="T36:XFD37 U34:AA34 T46:XFD46 U38:AA45 T35:AA35 AC34:XFD35 AC38:XFD45">
    <cfRule type="expression" dxfId="188" priority="202">
      <formula>OR(COLUMN(T34)=CELL("col"),ROW(T34)=CELL("row"))</formula>
    </cfRule>
  </conditionalFormatting>
  <conditionalFormatting sqref="R35:R37 R46">
    <cfRule type="expression" dxfId="187" priority="199">
      <formula>OR(COLUMN(R35)=CELL("col"),ROW(R35)=CELL("row"))</formula>
    </cfRule>
  </conditionalFormatting>
  <conditionalFormatting sqref="Q35:Q37 Q46">
    <cfRule type="expression" dxfId="186" priority="198">
      <formula>OR(COLUMN(Q35)=CELL("col"),ROW(Q35)=CELL("row"))</formula>
    </cfRule>
  </conditionalFormatting>
  <conditionalFormatting sqref="O35:O37 O46">
    <cfRule type="expression" dxfId="185" priority="197">
      <formula>OR(COLUMN(O35)=CELL("col"),ROW(O35)=CELL("row"))</formula>
    </cfRule>
  </conditionalFormatting>
  <conditionalFormatting sqref="P35:P37 P46">
    <cfRule type="expression" dxfId="184" priority="195">
      <formula>OR(COLUMN(P35)=CELL("col"),ROW(P35)=CELL("row"))</formula>
    </cfRule>
  </conditionalFormatting>
  <conditionalFormatting sqref="S35:S37 S46">
    <cfRule type="expression" dxfId="183" priority="194">
      <formula>OR(COLUMN(S35)=CELL("col"),ROW(S35)=CELL("row"))</formula>
    </cfRule>
  </conditionalFormatting>
  <conditionalFormatting sqref="D26:G28 A26:B28 A29:C32 I26:K27 J28 T26:T32 I29:K30 A33:A34 M26:M32 E29:G32 J31:K32">
    <cfRule type="expression" dxfId="182" priority="192">
      <formula>OR(COLUMN(A26)=CELL("col"),ROW(A26)=CELL("row"))</formula>
    </cfRule>
  </conditionalFormatting>
  <conditionalFormatting sqref="K28">
    <cfRule type="expression" dxfId="181" priority="191">
      <formula>OR(COLUMN(K28)=CELL("col"),ROW(K28)=CELL("row"))</formula>
    </cfRule>
  </conditionalFormatting>
  <conditionalFormatting sqref="C26:C28">
    <cfRule type="expression" dxfId="180" priority="190">
      <formula>OR(COLUMN(C26)=CELL("col"),ROW(C26)=CELL("row"))</formula>
    </cfRule>
  </conditionalFormatting>
  <conditionalFormatting sqref="P29:Q30 R26:R32">
    <cfRule type="expression" dxfId="179" priority="188">
      <formula>OR(COLUMN(P26)=CELL("col"),ROW(P26)=CELL("row"))</formula>
    </cfRule>
  </conditionalFormatting>
  <conditionalFormatting sqref="Q26:Q28 Q31:Q32">
    <cfRule type="expression" dxfId="178" priority="187">
      <formula>OR(COLUMN(Q26)=CELL("col"),ROW(Q26)=CELL("row"))</formula>
    </cfRule>
  </conditionalFormatting>
  <conditionalFormatting sqref="O26:O32">
    <cfRule type="expression" dxfId="177" priority="186">
      <formula>OR(COLUMN(O26)=CELL("col"),ROW(O26)=CELL("row"))</formula>
    </cfRule>
  </conditionalFormatting>
  <conditionalFormatting sqref="N26:N32">
    <cfRule type="expression" dxfId="176" priority="185">
      <formula>OR(COLUMN(N26)=CELL("col"),ROW(N26)=CELL("row"))</formula>
    </cfRule>
  </conditionalFormatting>
  <conditionalFormatting sqref="P26:P28 P31:P32">
    <cfRule type="expression" dxfId="175" priority="184">
      <formula>OR(COLUMN(P26)=CELL("col"),ROW(P26)=CELL("row"))</formula>
    </cfRule>
  </conditionalFormatting>
  <conditionalFormatting sqref="S26:S32">
    <cfRule type="expression" dxfId="174" priority="183">
      <formula>OR(COLUMN(S26)=CELL("col"),ROW(S26)=CELL("row"))</formula>
    </cfRule>
  </conditionalFormatting>
  <conditionalFormatting sqref="B35:E37 T33:T34 B33:C34 E33:E34 B46:E46">
    <cfRule type="expression" dxfId="173" priority="182">
      <formula>OR(COLUMN(B33)=CELL("col"),ROW(B33)=CELL("row"))</formula>
    </cfRule>
  </conditionalFormatting>
  <conditionalFormatting sqref="Q33:Q34">
    <cfRule type="expression" dxfId="172" priority="179">
      <formula>OR(COLUMN(Q33)=CELL("col"),ROW(Q33)=CELL("row"))</formula>
    </cfRule>
  </conditionalFormatting>
  <conditionalFormatting sqref="O33:O34">
    <cfRule type="expression" dxfId="171" priority="178">
      <formula>OR(COLUMN(O33)=CELL("col"),ROW(O33)=CELL("row"))</formula>
    </cfRule>
  </conditionalFormatting>
  <conditionalFormatting sqref="P33:P34">
    <cfRule type="expression" dxfId="170" priority="176">
      <formula>OR(COLUMN(P33)=CELL("col"),ROW(P33)=CELL("row"))</formula>
    </cfRule>
  </conditionalFormatting>
  <conditionalFormatting sqref="S33:S34">
    <cfRule type="expression" dxfId="169" priority="175">
      <formula>OR(COLUMN(S33)=CELL("col"),ROW(S33)=CELL("row"))</formula>
    </cfRule>
  </conditionalFormatting>
  <conditionalFormatting sqref="D33:D34">
    <cfRule type="expression" dxfId="168" priority="174">
      <formula>OR(COLUMN(D33)=CELL("col"),ROW(D33)=CELL("row"))</formula>
    </cfRule>
  </conditionalFormatting>
  <conditionalFormatting sqref="L26:L32">
    <cfRule type="expression" dxfId="167" priority="173">
      <formula>OR(COLUMN(L26)=CELL("col"),ROW(L26)=CELL("row"))</formula>
    </cfRule>
  </conditionalFormatting>
  <conditionalFormatting sqref="H35:H37 H46">
    <cfRule type="expression" dxfId="166" priority="171">
      <formula>OR(COLUMN(H35)=CELL("col"),ROW(H35)=CELL("row"))</formula>
    </cfRule>
  </conditionalFormatting>
  <conditionalFormatting sqref="H10:H20 H23:H25 H57:H59 H68 H86:H87">
    <cfRule type="expression" dxfId="165" priority="170">
      <formula>OR(COLUMN(H10)=CELL("col"),ROW(H10)=CELL("row"))</formula>
    </cfRule>
  </conditionalFormatting>
  <conditionalFormatting sqref="H22">
    <cfRule type="expression" dxfId="164" priority="169">
      <formula>OR(COLUMN(H22)=CELL("col"),ROW(H22)=CELL("row"))</formula>
    </cfRule>
  </conditionalFormatting>
  <conditionalFormatting sqref="H26:H32">
    <cfRule type="expression" dxfId="163" priority="168">
      <formula>OR(COLUMN(H26)=CELL("col"),ROW(H26)=CELL("row"))</formula>
    </cfRule>
  </conditionalFormatting>
  <conditionalFormatting sqref="B51:G54 T51:T54 I51:K52 M51:M54 J53:K54">
    <cfRule type="expression" dxfId="162" priority="167">
      <formula>OR(COLUMN(B51)=CELL("col"),ROW(B51)=CELL("row"))</formula>
    </cfRule>
  </conditionalFormatting>
  <conditionalFormatting sqref="P51:Q52 R51:R54">
    <cfRule type="expression" dxfId="161" priority="165">
      <formula>OR(COLUMN(P51)=CELL("col"),ROW(P51)=CELL("row"))</formula>
    </cfRule>
  </conditionalFormatting>
  <conditionalFormatting sqref="Q53:Q54">
    <cfRule type="expression" dxfId="160" priority="164">
      <formula>OR(COLUMN(Q53)=CELL("col"),ROW(Q53)=CELL("row"))</formula>
    </cfRule>
  </conditionalFormatting>
  <conditionalFormatting sqref="O51:O54">
    <cfRule type="expression" dxfId="159" priority="163">
      <formula>OR(COLUMN(O51)=CELL("col"),ROW(O51)=CELL("row"))</formula>
    </cfRule>
  </conditionalFormatting>
  <conditionalFormatting sqref="N51:N54">
    <cfRule type="expression" dxfId="158" priority="162">
      <formula>OR(COLUMN(N51)=CELL("col"),ROW(N51)=CELL("row"))</formula>
    </cfRule>
  </conditionalFormatting>
  <conditionalFormatting sqref="P53:P54">
    <cfRule type="expression" dxfId="157" priority="161">
      <formula>OR(COLUMN(P53)=CELL("col"),ROW(P53)=CELL("row"))</formula>
    </cfRule>
  </conditionalFormatting>
  <conditionalFormatting sqref="S51:S54">
    <cfRule type="expression" dxfId="156" priority="160">
      <formula>OR(COLUMN(S51)=CELL("col"),ROW(S51)=CELL("row"))</formula>
    </cfRule>
  </conditionalFormatting>
  <conditionalFormatting sqref="L51:L54">
    <cfRule type="expression" dxfId="155" priority="159">
      <formula>OR(COLUMN(L51)=CELL("col"),ROW(L51)=CELL("row"))</formula>
    </cfRule>
  </conditionalFormatting>
  <conditionalFormatting sqref="H51:H54">
    <cfRule type="expression" dxfId="154" priority="158">
      <formula>OR(COLUMN(H51)=CELL("col"),ROW(H51)=CELL("row"))</formula>
    </cfRule>
  </conditionalFormatting>
  <conditionalFormatting sqref="B60 D60:G60 M60 T60:AA60 I60:K60 U61:AA64 A60:A67 AC60:XFD64">
    <cfRule type="expression" dxfId="153" priority="153">
      <formula>OR(COLUMN(A60)=CELL("col"),ROW(A60)=CELL("row"))</formula>
    </cfRule>
  </conditionalFormatting>
  <conditionalFormatting sqref="C60">
    <cfRule type="expression" dxfId="152" priority="152">
      <formula>OR(COLUMN(C60)=CELL("col"),ROW(C60)=CELL("row"))</formula>
    </cfRule>
  </conditionalFormatting>
  <conditionalFormatting sqref="R60">
    <cfRule type="expression" dxfId="151" priority="150">
      <formula>OR(COLUMN(R60)=CELL("col"),ROW(R60)=CELL("row"))</formula>
    </cfRule>
  </conditionalFormatting>
  <conditionalFormatting sqref="Q60">
    <cfRule type="expression" dxfId="150" priority="149">
      <formula>OR(COLUMN(Q60)=CELL("col"),ROW(Q60)=CELL("row"))</formula>
    </cfRule>
  </conditionalFormatting>
  <conditionalFormatting sqref="O60">
    <cfRule type="expression" dxfId="149" priority="148">
      <formula>OR(COLUMN(O60)=CELL("col"),ROW(O60)=CELL("row"))</formula>
    </cfRule>
  </conditionalFormatting>
  <conditionalFormatting sqref="N60">
    <cfRule type="expression" dxfId="148" priority="147">
      <formula>OR(COLUMN(N60)=CELL("col"),ROW(N60)=CELL("row"))</formula>
    </cfRule>
  </conditionalFormatting>
  <conditionalFormatting sqref="P60">
    <cfRule type="expression" dxfId="147" priority="146">
      <formula>OR(COLUMN(P60)=CELL("col"),ROW(P60)=CELL("row"))</formula>
    </cfRule>
  </conditionalFormatting>
  <conditionalFormatting sqref="S60">
    <cfRule type="expression" dxfId="146" priority="145">
      <formula>OR(COLUMN(S60)=CELL("col"),ROW(S60)=CELL("row"))</formula>
    </cfRule>
  </conditionalFormatting>
  <conditionalFormatting sqref="L60">
    <cfRule type="expression" dxfId="145" priority="144">
      <formula>OR(COLUMN(L60)=CELL("col"),ROW(L60)=CELL("row"))</formula>
    </cfRule>
  </conditionalFormatting>
  <conditionalFormatting sqref="H60">
    <cfRule type="expression" dxfId="144" priority="143">
      <formula>OR(COLUMN(H60)=CELL("col"),ROW(H60)=CELL("row"))</formula>
    </cfRule>
  </conditionalFormatting>
  <conditionalFormatting sqref="B61:G64 T63:T64">
    <cfRule type="expression" dxfId="143" priority="142">
      <formula>OR(COLUMN(B61)=CELL("col"),ROW(B61)=CELL("row"))</formula>
    </cfRule>
  </conditionalFormatting>
  <conditionalFormatting sqref="H61:H64">
    <cfRule type="expression" dxfId="142" priority="133">
      <formula>OR(COLUMN(H61)=CELL("col"),ROW(H61)=CELL("row"))</formula>
    </cfRule>
  </conditionalFormatting>
  <conditionalFormatting sqref="A69:G69">
    <cfRule type="expression" dxfId="141" priority="132">
      <formula>OR(COLUMN(A69)=CELL("col"),ROW(A69)=CELL("row"))</formula>
    </cfRule>
  </conditionalFormatting>
  <conditionalFormatting sqref="H69">
    <cfRule type="expression" dxfId="140" priority="130">
      <formula>OR(COLUMN(H69)=CELL("col"),ROW(H69)=CELL("row"))</formula>
    </cfRule>
  </conditionalFormatting>
  <conditionalFormatting sqref="B70 D70:G70 M70 T70:AA70 I70:K70 A70:A77 AC70:XFD70">
    <cfRule type="expression" dxfId="139" priority="129">
      <formula>OR(COLUMN(A70)=CELL("col"),ROW(A70)=CELL("row"))</formula>
    </cfRule>
  </conditionalFormatting>
  <conditionalFormatting sqref="C70">
    <cfRule type="expression" dxfId="138" priority="128">
      <formula>OR(COLUMN(C70)=CELL("col"),ROW(C70)=CELL("row"))</formula>
    </cfRule>
  </conditionalFormatting>
  <conditionalFormatting sqref="R70">
    <cfRule type="expression" dxfId="137" priority="126">
      <formula>OR(COLUMN(R70)=CELL("col"),ROW(R70)=CELL("row"))</formula>
    </cfRule>
  </conditionalFormatting>
  <conditionalFormatting sqref="Q70">
    <cfRule type="expression" dxfId="136" priority="125">
      <formula>OR(COLUMN(Q70)=CELL("col"),ROW(Q70)=CELL("row"))</formula>
    </cfRule>
  </conditionalFormatting>
  <conditionalFormatting sqref="O70">
    <cfRule type="expression" dxfId="135" priority="124">
      <formula>OR(COLUMN(O70)=CELL("col"),ROW(O70)=CELL("row"))</formula>
    </cfRule>
  </conditionalFormatting>
  <conditionalFormatting sqref="N70">
    <cfRule type="expression" dxfId="134" priority="123">
      <formula>OR(COLUMN(N70)=CELL("col"),ROW(N70)=CELL("row"))</formula>
    </cfRule>
  </conditionalFormatting>
  <conditionalFormatting sqref="P70">
    <cfRule type="expression" dxfId="133" priority="122">
      <formula>OR(COLUMN(P70)=CELL("col"),ROW(P70)=CELL("row"))</formula>
    </cfRule>
  </conditionalFormatting>
  <conditionalFormatting sqref="S70">
    <cfRule type="expression" dxfId="132" priority="121">
      <formula>OR(COLUMN(S70)=CELL("col"),ROW(S70)=CELL("row"))</formula>
    </cfRule>
  </conditionalFormatting>
  <conditionalFormatting sqref="L70">
    <cfRule type="expression" dxfId="131" priority="120">
      <formula>OR(COLUMN(L70)=CELL("col"),ROW(L70)=CELL("row"))</formula>
    </cfRule>
  </conditionalFormatting>
  <conditionalFormatting sqref="H70">
    <cfRule type="expression" dxfId="130" priority="119">
      <formula>OR(COLUMN(H70)=CELL("col"),ROW(H70)=CELL("row"))</formula>
    </cfRule>
  </conditionalFormatting>
  <conditionalFormatting sqref="B71:G74 T73:T74">
    <cfRule type="expression" dxfId="129" priority="118">
      <formula>OR(COLUMN(B71)=CELL("col"),ROW(B71)=CELL("row"))</formula>
    </cfRule>
  </conditionalFormatting>
  <conditionalFormatting sqref="H71:H74">
    <cfRule type="expression" dxfId="128" priority="109">
      <formula>OR(COLUMN(H71)=CELL("col"),ROW(H71)=CELL("row"))</formula>
    </cfRule>
  </conditionalFormatting>
  <conditionalFormatting sqref="A78:G78">
    <cfRule type="expression" dxfId="127" priority="108">
      <formula>OR(COLUMN(A78)=CELL("col"),ROW(A78)=CELL("row"))</formula>
    </cfRule>
  </conditionalFormatting>
  <conditionalFormatting sqref="H78">
    <cfRule type="expression" dxfId="126" priority="106">
      <formula>OR(COLUMN(H78)=CELL("col"),ROW(H78)=CELL("row"))</formula>
    </cfRule>
  </conditionalFormatting>
  <conditionalFormatting sqref="B79 D79:G79 M79 T79:AA79 I79:K79 U80:AA83 A79:A85 AC79:XFD83">
    <cfRule type="expression" dxfId="125" priority="105">
      <formula>OR(COLUMN(A79)=CELL("col"),ROW(A79)=CELL("row"))</formula>
    </cfRule>
  </conditionalFormatting>
  <conditionalFormatting sqref="C79">
    <cfRule type="expression" dxfId="124" priority="104">
      <formula>OR(COLUMN(C79)=CELL("col"),ROW(C79)=CELL("row"))</formula>
    </cfRule>
  </conditionalFormatting>
  <conditionalFormatting sqref="R79">
    <cfRule type="expression" dxfId="123" priority="102">
      <formula>OR(COLUMN(R79)=CELL("col"),ROW(R79)=CELL("row"))</formula>
    </cfRule>
  </conditionalFormatting>
  <conditionalFormatting sqref="Q79">
    <cfRule type="expression" dxfId="122" priority="101">
      <formula>OR(COLUMN(Q79)=CELL("col"),ROW(Q79)=CELL("row"))</formula>
    </cfRule>
  </conditionalFormatting>
  <conditionalFormatting sqref="O79">
    <cfRule type="expression" dxfId="121" priority="100">
      <formula>OR(COLUMN(O79)=CELL("col"),ROW(O79)=CELL("row"))</formula>
    </cfRule>
  </conditionalFormatting>
  <conditionalFormatting sqref="N79">
    <cfRule type="expression" dxfId="120" priority="99">
      <formula>OR(COLUMN(N79)=CELL("col"),ROW(N79)=CELL("row"))</formula>
    </cfRule>
  </conditionalFormatting>
  <conditionalFormatting sqref="P79">
    <cfRule type="expression" dxfId="119" priority="98">
      <formula>OR(COLUMN(P79)=CELL("col"),ROW(P79)=CELL("row"))</formula>
    </cfRule>
  </conditionalFormatting>
  <conditionalFormatting sqref="S79">
    <cfRule type="expression" dxfId="118" priority="97">
      <formula>OR(COLUMN(S79)=CELL("col"),ROW(S79)=CELL("row"))</formula>
    </cfRule>
  </conditionalFormatting>
  <conditionalFormatting sqref="L79">
    <cfRule type="expression" dxfId="117" priority="96">
      <formula>OR(COLUMN(L79)=CELL("col"),ROW(L79)=CELL("row"))</formula>
    </cfRule>
  </conditionalFormatting>
  <conditionalFormatting sqref="H79">
    <cfRule type="expression" dxfId="116" priority="95">
      <formula>OR(COLUMN(H79)=CELL("col"),ROW(H79)=CELL("row"))</formula>
    </cfRule>
  </conditionalFormatting>
  <conditionalFormatting sqref="B80:G83">
    <cfRule type="expression" dxfId="115" priority="94">
      <formula>OR(COLUMN(B80)=CELL("col"),ROW(B80)=CELL("row"))</formula>
    </cfRule>
  </conditionalFormatting>
  <conditionalFormatting sqref="H80:H83">
    <cfRule type="expression" dxfId="114" priority="85">
      <formula>OR(COLUMN(H80)=CELL("col"),ROW(H80)=CELL("row"))</formula>
    </cfRule>
  </conditionalFormatting>
  <conditionalFormatting sqref="D29:D32">
    <cfRule type="expression" dxfId="113" priority="84">
      <formula>OR(COLUMN(D29)=CELL("col"),ROW(D29)=CELL("row"))</formula>
    </cfRule>
  </conditionalFormatting>
  <conditionalFormatting sqref="D17:D20">
    <cfRule type="expression" dxfId="112" priority="83">
      <formula>OR(COLUMN(D17)=CELL("col"),ROW(D17)=CELL("row"))</formula>
    </cfRule>
  </conditionalFormatting>
  <conditionalFormatting sqref="B39 D39:G39 A38:G38 A39:A45 B44:T45 H38:T39">
    <cfRule type="expression" dxfId="111" priority="82">
      <formula>OR(COLUMN(A38)=CELL("col"),ROW(A38)=CELL("row"))</formula>
    </cfRule>
  </conditionalFormatting>
  <conditionalFormatting sqref="C39">
    <cfRule type="expression" dxfId="110" priority="81">
      <formula>OR(COLUMN(C39)=CELL("col"),ROW(C39)=CELL("row"))</formula>
    </cfRule>
  </conditionalFormatting>
  <conditionalFormatting sqref="B40:G43 T40:T43 I40:K41 M40:M43 J42:K43">
    <cfRule type="expression" dxfId="109" priority="80">
      <formula>OR(COLUMN(B40)=CELL("col"),ROW(B40)=CELL("row"))</formula>
    </cfRule>
  </conditionalFormatting>
  <conditionalFormatting sqref="P40:Q41 R40:R43">
    <cfRule type="expression" dxfId="108" priority="79">
      <formula>OR(COLUMN(P40)=CELL("col"),ROW(P40)=CELL("row"))</formula>
    </cfRule>
  </conditionalFormatting>
  <conditionalFormatting sqref="Q42:Q43">
    <cfRule type="expression" dxfId="107" priority="78">
      <formula>OR(COLUMN(Q42)=CELL("col"),ROW(Q42)=CELL("row"))</formula>
    </cfRule>
  </conditionalFormatting>
  <conditionalFormatting sqref="O40:O43">
    <cfRule type="expression" dxfId="106" priority="77">
      <formula>OR(COLUMN(O40)=CELL("col"),ROW(O40)=CELL("row"))</formula>
    </cfRule>
  </conditionalFormatting>
  <conditionalFormatting sqref="N40:N43">
    <cfRule type="expression" dxfId="105" priority="76">
      <formula>OR(COLUMN(N40)=CELL("col"),ROW(N40)=CELL("row"))</formula>
    </cfRule>
  </conditionalFormatting>
  <conditionalFormatting sqref="P42:P43">
    <cfRule type="expression" dxfId="104" priority="75">
      <formula>OR(COLUMN(P42)=CELL("col"),ROW(P42)=CELL("row"))</formula>
    </cfRule>
  </conditionalFormatting>
  <conditionalFormatting sqref="S40:S43">
    <cfRule type="expression" dxfId="103" priority="74">
      <formula>OR(COLUMN(S40)=CELL("col"),ROW(S40)=CELL("row"))</formula>
    </cfRule>
  </conditionalFormatting>
  <conditionalFormatting sqref="L40:L43">
    <cfRule type="expression" dxfId="102" priority="73">
      <formula>OR(COLUMN(L40)=CELL("col"),ROW(L40)=CELL("row"))</formula>
    </cfRule>
  </conditionalFormatting>
  <conditionalFormatting sqref="H40:H43">
    <cfRule type="expression" dxfId="101" priority="72">
      <formula>OR(COLUMN(H40)=CELL("col"),ROW(H40)=CELL("row"))</formula>
    </cfRule>
  </conditionalFormatting>
  <conditionalFormatting sqref="M20 I20:K20">
    <cfRule type="expression" dxfId="100" priority="71">
      <formula>OR(COLUMN(I20)=CELL("col"),ROW(I20)=CELL("row"))</formula>
    </cfRule>
  </conditionalFormatting>
  <conditionalFormatting sqref="L20">
    <cfRule type="expression" dxfId="99" priority="64">
      <formula>OR(COLUMN(L20)=CELL("col"),ROW(L20)=CELL("row"))</formula>
    </cfRule>
  </conditionalFormatting>
  <conditionalFormatting sqref="R20">
    <cfRule type="expression" dxfId="98" priority="70">
      <formula>OR(COLUMN(R20)=CELL("col"),ROW(R20)=CELL("row"))</formula>
    </cfRule>
  </conditionalFormatting>
  <conditionalFormatting sqref="Q20">
    <cfRule type="expression" dxfId="97" priority="69">
      <formula>OR(COLUMN(Q20)=CELL("col"),ROW(Q20)=CELL("row"))</formula>
    </cfRule>
  </conditionalFormatting>
  <conditionalFormatting sqref="O20">
    <cfRule type="expression" dxfId="96" priority="68">
      <formula>OR(COLUMN(O20)=CELL("col"),ROW(O20)=CELL("row"))</formula>
    </cfRule>
  </conditionalFormatting>
  <conditionalFormatting sqref="N20">
    <cfRule type="expression" dxfId="95" priority="67">
      <formula>OR(COLUMN(N20)=CELL("col"),ROW(N20)=CELL("row"))</formula>
    </cfRule>
  </conditionalFormatting>
  <conditionalFormatting sqref="P20">
    <cfRule type="expression" dxfId="94" priority="66">
      <formula>OR(COLUMN(P20)=CELL("col"),ROW(P20)=CELL("row"))</formula>
    </cfRule>
  </conditionalFormatting>
  <conditionalFormatting sqref="S20">
    <cfRule type="expression" dxfId="93" priority="65">
      <formula>OR(COLUMN(S20)=CELL("col"),ROW(S20)=CELL("row"))</formula>
    </cfRule>
  </conditionalFormatting>
  <conditionalFormatting sqref="I31:I32">
    <cfRule type="expression" dxfId="92" priority="63">
      <formula>OR(COLUMN(I31)=CELL("col"),ROW(I31)=CELL("row"))</formula>
    </cfRule>
  </conditionalFormatting>
  <conditionalFormatting sqref="I42:I43">
    <cfRule type="expression" dxfId="91" priority="62">
      <formula>OR(COLUMN(I42)=CELL("col"),ROW(I42)=CELL("row"))</formula>
    </cfRule>
  </conditionalFormatting>
  <conditionalFormatting sqref="I53:I54">
    <cfRule type="expression" dxfId="90" priority="61">
      <formula>OR(COLUMN(I53)=CELL("col"),ROW(I53)=CELL("row"))</formula>
    </cfRule>
  </conditionalFormatting>
  <conditionalFormatting sqref="G55:J56">
    <cfRule type="expression" dxfId="89" priority="60">
      <formula>OR(COLUMN(G55)=CELL("col"),ROW(G55)=CELL("row"))</formula>
    </cfRule>
  </conditionalFormatting>
  <conditionalFormatting sqref="T61:T62 I61:K62 M61:M62">
    <cfRule type="expression" dxfId="88" priority="59">
      <formula>OR(COLUMN(I61)=CELL("col"),ROW(I61)=CELL("row"))</formula>
    </cfRule>
  </conditionalFormatting>
  <conditionalFormatting sqref="P61:R62">
    <cfRule type="expression" dxfId="87" priority="58">
      <formula>OR(COLUMN(P61)=CELL("col"),ROW(P61)=CELL("row"))</formula>
    </cfRule>
  </conditionalFormatting>
  <conditionalFormatting sqref="O61:O62">
    <cfRule type="expression" dxfId="86" priority="57">
      <formula>OR(COLUMN(O61)=CELL("col"),ROW(O61)=CELL("row"))</formula>
    </cfRule>
  </conditionalFormatting>
  <conditionalFormatting sqref="N61:N62">
    <cfRule type="expression" dxfId="85" priority="56">
      <formula>OR(COLUMN(N61)=CELL("col"),ROW(N61)=CELL("row"))</formula>
    </cfRule>
  </conditionalFormatting>
  <conditionalFormatting sqref="S61:S62">
    <cfRule type="expression" dxfId="84" priority="55">
      <formula>OR(COLUMN(S61)=CELL("col"),ROW(S61)=CELL("row"))</formula>
    </cfRule>
  </conditionalFormatting>
  <conditionalFormatting sqref="L61:L62">
    <cfRule type="expression" dxfId="83" priority="54">
      <formula>OR(COLUMN(L61)=CELL("col"),ROW(L61)=CELL("row"))</formula>
    </cfRule>
  </conditionalFormatting>
  <conditionalFormatting sqref="M63:M64 J63:K64">
    <cfRule type="expression" dxfId="82" priority="53">
      <formula>OR(COLUMN(J63)=CELL("col"),ROW(J63)=CELL("row"))</formula>
    </cfRule>
  </conditionalFormatting>
  <conditionalFormatting sqref="R63:R64">
    <cfRule type="expression" dxfId="81" priority="52">
      <formula>OR(COLUMN(R63)=CELL("col"),ROW(R63)=CELL("row"))</formula>
    </cfRule>
  </conditionalFormatting>
  <conditionalFormatting sqref="Q63:Q64">
    <cfRule type="expression" dxfId="80" priority="51">
      <formula>OR(COLUMN(Q63)=CELL("col"),ROW(Q63)=CELL("row"))</formula>
    </cfRule>
  </conditionalFormatting>
  <conditionalFormatting sqref="O63:O64">
    <cfRule type="expression" dxfId="79" priority="50">
      <formula>OR(COLUMN(O63)=CELL("col"),ROW(O63)=CELL("row"))</formula>
    </cfRule>
  </conditionalFormatting>
  <conditionalFormatting sqref="N63:N64">
    <cfRule type="expression" dxfId="78" priority="49">
      <formula>OR(COLUMN(N63)=CELL("col"),ROW(N63)=CELL("row"))</formula>
    </cfRule>
  </conditionalFormatting>
  <conditionalFormatting sqref="P63:P64">
    <cfRule type="expression" dxfId="77" priority="48">
      <formula>OR(COLUMN(P63)=CELL("col"),ROW(P63)=CELL("row"))</formula>
    </cfRule>
  </conditionalFormatting>
  <conditionalFormatting sqref="S63:S64">
    <cfRule type="expression" dxfId="76" priority="47">
      <formula>OR(COLUMN(S63)=CELL("col"),ROW(S63)=CELL("row"))</formula>
    </cfRule>
  </conditionalFormatting>
  <conditionalFormatting sqref="L63:L64">
    <cfRule type="expression" dxfId="75" priority="46">
      <formula>OR(COLUMN(L63)=CELL("col"),ROW(L63)=CELL("row"))</formula>
    </cfRule>
  </conditionalFormatting>
  <conditionalFormatting sqref="I63:I64">
    <cfRule type="expression" dxfId="74" priority="45">
      <formula>OR(COLUMN(I63)=CELL("col"),ROW(I63)=CELL("row"))</formula>
    </cfRule>
  </conditionalFormatting>
  <conditionalFormatting sqref="T71:T72 I71:K72 M71:M72">
    <cfRule type="expression" dxfId="73" priority="44">
      <formula>OR(COLUMN(I71)=CELL("col"),ROW(I71)=CELL("row"))</formula>
    </cfRule>
  </conditionalFormatting>
  <conditionalFormatting sqref="P71:R72">
    <cfRule type="expression" dxfId="72" priority="43">
      <formula>OR(COLUMN(P71)=CELL("col"),ROW(P71)=CELL("row"))</formula>
    </cfRule>
  </conditionalFormatting>
  <conditionalFormatting sqref="O71:O72">
    <cfRule type="expression" dxfId="71" priority="42">
      <formula>OR(COLUMN(O71)=CELL("col"),ROW(O71)=CELL("row"))</formula>
    </cfRule>
  </conditionalFormatting>
  <conditionalFormatting sqref="N71:N72">
    <cfRule type="expression" dxfId="70" priority="41">
      <formula>OR(COLUMN(N71)=CELL("col"),ROW(N71)=CELL("row"))</formula>
    </cfRule>
  </conditionalFormatting>
  <conditionalFormatting sqref="S71:S72">
    <cfRule type="expression" dxfId="69" priority="40">
      <formula>OR(COLUMN(S71)=CELL("col"),ROW(S71)=CELL("row"))</formula>
    </cfRule>
  </conditionalFormatting>
  <conditionalFormatting sqref="L71:L72">
    <cfRule type="expression" dxfId="68" priority="39">
      <formula>OR(COLUMN(L71)=CELL("col"),ROW(L71)=CELL("row"))</formula>
    </cfRule>
  </conditionalFormatting>
  <conditionalFormatting sqref="M73:M74 J73:K74">
    <cfRule type="expression" dxfId="67" priority="38">
      <formula>OR(COLUMN(J73)=CELL("col"),ROW(J73)=CELL("row"))</formula>
    </cfRule>
  </conditionalFormatting>
  <conditionalFormatting sqref="R73:R74">
    <cfRule type="expression" dxfId="66" priority="37">
      <formula>OR(COLUMN(R73)=CELL("col"),ROW(R73)=CELL("row"))</formula>
    </cfRule>
  </conditionalFormatting>
  <conditionalFormatting sqref="Q73:Q74">
    <cfRule type="expression" dxfId="65" priority="36">
      <formula>OR(COLUMN(Q73)=CELL("col"),ROW(Q73)=CELL("row"))</formula>
    </cfRule>
  </conditionalFormatting>
  <conditionalFormatting sqref="O73:O74">
    <cfRule type="expression" dxfId="64" priority="35">
      <formula>OR(COLUMN(O73)=CELL("col"),ROW(O73)=CELL("row"))</formula>
    </cfRule>
  </conditionalFormatting>
  <conditionalFormatting sqref="N73:N74">
    <cfRule type="expression" dxfId="63" priority="34">
      <formula>OR(COLUMN(N73)=CELL("col"),ROW(N73)=CELL("row"))</formula>
    </cfRule>
  </conditionalFormatting>
  <conditionalFormatting sqref="P73:P74">
    <cfRule type="expression" dxfId="62" priority="33">
      <formula>OR(COLUMN(P73)=CELL("col"),ROW(P73)=CELL("row"))</formula>
    </cfRule>
  </conditionalFormatting>
  <conditionalFormatting sqref="S73:S74">
    <cfRule type="expression" dxfId="61" priority="32">
      <formula>OR(COLUMN(S73)=CELL("col"),ROW(S73)=CELL("row"))</formula>
    </cfRule>
  </conditionalFormatting>
  <conditionalFormatting sqref="L73:L74">
    <cfRule type="expression" dxfId="60" priority="31">
      <formula>OR(COLUMN(L73)=CELL("col"),ROW(L73)=CELL("row"))</formula>
    </cfRule>
  </conditionalFormatting>
  <conditionalFormatting sqref="I73:I74">
    <cfRule type="expression" dxfId="59" priority="30">
      <formula>OR(COLUMN(I73)=CELL("col"),ROW(I73)=CELL("row"))</formula>
    </cfRule>
  </conditionalFormatting>
  <conditionalFormatting sqref="T82:T83">
    <cfRule type="expression" dxfId="58" priority="29">
      <formula>OR(COLUMN(T82)=CELL("col"),ROW(T82)=CELL("row"))</formula>
    </cfRule>
  </conditionalFormatting>
  <conditionalFormatting sqref="T80:T81 I80:K81 M80:M81">
    <cfRule type="expression" dxfId="57" priority="28">
      <formula>OR(COLUMN(I80)=CELL("col"),ROW(I80)=CELL("row"))</formula>
    </cfRule>
  </conditionalFormatting>
  <conditionalFormatting sqref="P80:R81">
    <cfRule type="expression" dxfId="56" priority="27">
      <formula>OR(COLUMN(P80)=CELL("col"),ROW(P80)=CELL("row"))</formula>
    </cfRule>
  </conditionalFormatting>
  <conditionalFormatting sqref="O80:O81">
    <cfRule type="expression" dxfId="55" priority="26">
      <formula>OR(COLUMN(O80)=CELL("col"),ROW(O80)=CELL("row"))</formula>
    </cfRule>
  </conditionalFormatting>
  <conditionalFormatting sqref="N80:N81">
    <cfRule type="expression" dxfId="54" priority="25">
      <formula>OR(COLUMN(N80)=CELL("col"),ROW(N80)=CELL("row"))</formula>
    </cfRule>
  </conditionalFormatting>
  <conditionalFormatting sqref="S80:S81">
    <cfRule type="expression" dxfId="53" priority="24">
      <formula>OR(COLUMN(S80)=CELL("col"),ROW(S80)=CELL("row"))</formula>
    </cfRule>
  </conditionalFormatting>
  <conditionalFormatting sqref="L80:L81">
    <cfRule type="expression" dxfId="52" priority="23">
      <formula>OR(COLUMN(L80)=CELL("col"),ROW(L80)=CELL("row"))</formula>
    </cfRule>
  </conditionalFormatting>
  <conditionalFormatting sqref="M82:M83 J82:K83">
    <cfRule type="expression" dxfId="51" priority="22">
      <formula>OR(COLUMN(J82)=CELL("col"),ROW(J82)=CELL("row"))</formula>
    </cfRule>
  </conditionalFormatting>
  <conditionalFormatting sqref="R82:R83">
    <cfRule type="expression" dxfId="50" priority="21">
      <formula>OR(COLUMN(R82)=CELL("col"),ROW(R82)=CELL("row"))</formula>
    </cfRule>
  </conditionalFormatting>
  <conditionalFormatting sqref="Q82:Q83">
    <cfRule type="expression" dxfId="49" priority="20">
      <formula>OR(COLUMN(Q82)=CELL("col"),ROW(Q82)=CELL("row"))</formula>
    </cfRule>
  </conditionalFormatting>
  <conditionalFormatting sqref="O82:O83">
    <cfRule type="expression" dxfId="48" priority="19">
      <formula>OR(COLUMN(O82)=CELL("col"),ROW(O82)=CELL("row"))</formula>
    </cfRule>
  </conditionalFormatting>
  <conditionalFormatting sqref="N82:N83">
    <cfRule type="expression" dxfId="47" priority="18">
      <formula>OR(COLUMN(N82)=CELL("col"),ROW(N82)=CELL("row"))</formula>
    </cfRule>
  </conditionalFormatting>
  <conditionalFormatting sqref="P82:P83">
    <cfRule type="expression" dxfId="46" priority="17">
      <formula>OR(COLUMN(P82)=CELL("col"),ROW(P82)=CELL("row"))</formula>
    </cfRule>
  </conditionalFormatting>
  <conditionalFormatting sqref="S82:S83">
    <cfRule type="expression" dxfId="45" priority="16">
      <formula>OR(COLUMN(S82)=CELL("col"),ROW(S82)=CELL("row"))</formula>
    </cfRule>
  </conditionalFormatting>
  <conditionalFormatting sqref="L82:L83">
    <cfRule type="expression" dxfId="44" priority="15">
      <formula>OR(COLUMN(L82)=CELL("col"),ROW(L82)=CELL("row"))</formula>
    </cfRule>
  </conditionalFormatting>
  <conditionalFormatting sqref="I82:I83">
    <cfRule type="expression" dxfId="43" priority="14">
      <formula>OR(COLUMN(I82)=CELL("col"),ROW(I82)=CELL("row"))</formula>
    </cfRule>
  </conditionalFormatting>
  <conditionalFormatting sqref="G33:J33">
    <cfRule type="expression" dxfId="42" priority="13">
      <formula>OR(COLUMN(G33)=CELL("col"),ROW(G33)=CELL("row"))</formula>
    </cfRule>
  </conditionalFormatting>
  <conditionalFormatting sqref="G34:J34">
    <cfRule type="expression" dxfId="41" priority="12">
      <formula>OR(COLUMN(G34)=CELL("col"),ROW(G34)=CELL("row"))</formula>
    </cfRule>
  </conditionalFormatting>
  <conditionalFormatting sqref="G21:J21">
    <cfRule type="expression" dxfId="40" priority="11">
      <formula>OR(COLUMN(G21)=CELL("col"),ROW(G21)=CELL("row"))</formula>
    </cfRule>
  </conditionalFormatting>
  <conditionalFormatting sqref="AB38">
    <cfRule type="expression" dxfId="39" priority="10">
      <formula>OR(COLUMN(AB38)=CELL("col"),ROW(AB38)=CELL("row"))</formula>
    </cfRule>
  </conditionalFormatting>
  <conditionalFormatting sqref="AB25">
    <cfRule type="expression" dxfId="38" priority="9">
      <formula>OR(COLUMN(AB25)=CELL("col"),ROW(AB25)=CELL("row"))</formula>
    </cfRule>
  </conditionalFormatting>
  <conditionalFormatting sqref="AB13">
    <cfRule type="expression" dxfId="37" priority="8">
      <formula>OR(COLUMN(AB13)=CELL("col"),ROW(AB13)=CELL("row"))</formula>
    </cfRule>
  </conditionalFormatting>
  <conditionalFormatting sqref="AB26:AB35">
    <cfRule type="expression" dxfId="36" priority="7">
      <formula>OR(COLUMN(AB26)=CELL("col"),ROW(AB26)=CELL("row"))</formula>
    </cfRule>
  </conditionalFormatting>
  <conditionalFormatting sqref="AB39:AB45">
    <cfRule type="expression" dxfId="35" priority="6">
      <formula>OR(COLUMN(AB39)=CELL("col"),ROW(AB39)=CELL("row"))</formula>
    </cfRule>
  </conditionalFormatting>
  <conditionalFormatting sqref="AB60:AB66">
    <cfRule type="expression" dxfId="34" priority="4">
      <formula>OR(COLUMN(AB60)=CELL("col"),ROW(AB60)=CELL("row"))</formula>
    </cfRule>
  </conditionalFormatting>
  <conditionalFormatting sqref="AB50:AB56">
    <cfRule type="expression" dxfId="33" priority="5">
      <formula>OR(COLUMN(AB50)=CELL("col"),ROW(AB50)=CELL("row"))</formula>
    </cfRule>
  </conditionalFormatting>
  <conditionalFormatting sqref="AB70:AB76">
    <cfRule type="expression" dxfId="2" priority="3">
      <formula>OR(COLUMN(AB70)=CELL("col"),ROW(AB70)=CELL("row"))</formula>
    </cfRule>
  </conditionalFormatting>
  <conditionalFormatting sqref="AB78">
    <cfRule type="expression" dxfId="1" priority="2">
      <formula>OR(COLUMN(AB78)=CELL("col"),ROW(AB78)=CELL("row"))</formula>
    </cfRule>
  </conditionalFormatting>
  <conditionalFormatting sqref="AB79:AB85">
    <cfRule type="expression" dxfId="0" priority="1">
      <formula>OR(COLUMN(AB79)=CELL("col"),ROW(AB79)=CELL("row"))</formula>
    </cfRule>
  </conditionalFormatting>
  <printOptions gridLines="1"/>
  <pageMargins left="0.23622047244094491" right="0.23622047244094491" top="0.74803149606299213" bottom="0.74803149606299213" header="0.31496062992125984" footer="0.31496062992125984"/>
  <pageSetup paperSize="8" scale="56" fitToHeight="0" orientation="landscape" r:id="rId1"/>
  <headerFooter alignWithMargins="0"/>
  <colBreaks count="1" manualBreakCount="1">
    <brk id="22" max="1048575" man="1"/>
  </colBreaks>
  <ignoredErrors>
    <ignoredError sqref="C14:C20 C26:C32 C51:C56 C61:C66 C3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D1FD0-AAE1-49D2-9FBD-7AEF70576832}">
  <dimension ref="A1:AL82"/>
  <sheetViews>
    <sheetView topLeftCell="A46" workbookViewId="0">
      <selection activeCell="C94" sqref="C94"/>
    </sheetView>
  </sheetViews>
  <sheetFormatPr defaultColWidth="9.140625" defaultRowHeight="10.5" x14ac:dyDescent="0.15"/>
  <cols>
    <col min="1" max="1" width="12.85546875" style="3" customWidth="1"/>
    <col min="2" max="2" width="34.85546875" style="4" customWidth="1"/>
    <col min="3" max="3" width="18.28515625" style="61" customWidth="1"/>
    <col min="4" max="4" width="20.140625" style="7" customWidth="1"/>
    <col min="5" max="5" width="5" style="7" customWidth="1"/>
    <col min="6" max="6" width="6.85546875" style="7" customWidth="1"/>
    <col min="7" max="7" width="6.85546875" style="7" bestFit="1" customWidth="1"/>
    <col min="8" max="8" width="5.7109375" style="7" bestFit="1" customWidth="1"/>
    <col min="9" max="9" width="6.5703125" style="37" customWidth="1"/>
    <col min="10" max="10" width="5.7109375" style="7" bestFit="1" customWidth="1"/>
    <col min="11" max="12" width="4.85546875" style="7" bestFit="1" customWidth="1"/>
    <col min="13" max="13" width="4.85546875" style="7" customWidth="1"/>
    <col min="14" max="14" width="5" style="7" bestFit="1" customWidth="1"/>
    <col min="15" max="15" width="5" style="7" customWidth="1"/>
    <col min="16" max="16" width="5" style="7" bestFit="1" customWidth="1"/>
    <col min="17" max="17" width="6.28515625" style="7" customWidth="1"/>
    <col min="18" max="19" width="5.85546875" style="7" bestFit="1" customWidth="1"/>
    <col min="20" max="23" width="5" style="7" bestFit="1" customWidth="1"/>
    <col min="24" max="24" width="5.85546875" style="7" bestFit="1" customWidth="1"/>
    <col min="25" max="25" width="5" style="7" bestFit="1" customWidth="1"/>
    <col min="26" max="26" width="5.85546875" style="7" bestFit="1" customWidth="1"/>
    <col min="27" max="27" width="5.85546875" style="7" customWidth="1"/>
    <col min="28" max="28" width="5" style="7" bestFit="1" customWidth="1"/>
    <col min="29" max="30" width="5.85546875" style="7" bestFit="1" customWidth="1"/>
    <col min="31" max="31" width="0.85546875" style="47" customWidth="1"/>
    <col min="32" max="32" width="8.5703125" style="7" customWidth="1"/>
    <col min="33" max="33" width="8.5703125" style="7" bestFit="1" customWidth="1"/>
    <col min="34" max="36" width="14.28515625" style="7" bestFit="1" customWidth="1"/>
    <col min="37" max="37" width="10" style="3" bestFit="1" customWidth="1"/>
    <col min="38" max="46" width="4.7109375" style="3" customWidth="1"/>
    <col min="47" max="16384" width="9.140625" style="3"/>
  </cols>
  <sheetData>
    <row r="1" spans="1:37" ht="15.75" customHeight="1" x14ac:dyDescent="0.15">
      <c r="A1" s="6" t="s">
        <v>77</v>
      </c>
      <c r="B1" s="6"/>
      <c r="C1" s="59"/>
    </row>
    <row r="2" spans="1:37" ht="15.75" customHeight="1" x14ac:dyDescent="0.15">
      <c r="A2" s="6" t="s">
        <v>14</v>
      </c>
      <c r="B2" s="6"/>
      <c r="C2" s="60"/>
      <c r="D2" s="21"/>
      <c r="E2" s="21"/>
      <c r="F2" s="21"/>
      <c r="H2" s="21"/>
      <c r="I2" s="38"/>
    </row>
    <row r="3" spans="1:37" ht="15.75" customHeight="1" x14ac:dyDescent="0.15">
      <c r="A3" s="8"/>
      <c r="B3" s="8"/>
      <c r="C3" s="60"/>
      <c r="D3" s="21"/>
      <c r="E3" s="21"/>
      <c r="F3" s="21"/>
      <c r="G3" s="9"/>
      <c r="H3" s="21"/>
      <c r="I3" s="38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48"/>
    </row>
    <row r="4" spans="1:37" ht="15.75" customHeight="1" x14ac:dyDescent="0.25">
      <c r="A4" s="8" t="s">
        <v>0</v>
      </c>
      <c r="B4" s="10"/>
      <c r="G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7"/>
      <c r="AF4" s="24"/>
      <c r="AG4" s="24"/>
      <c r="AH4" s="24"/>
      <c r="AI4" s="24"/>
      <c r="AJ4" s="24"/>
    </row>
    <row r="5" spans="1:37" ht="15.75" customHeight="1" x14ac:dyDescent="0.25">
      <c r="A5" s="8" t="s">
        <v>1</v>
      </c>
      <c r="B5" s="10" t="s">
        <v>88</v>
      </c>
      <c r="C5" s="4">
        <f>7850*0.1*0.005*19.256</f>
        <v>75.579800000000006</v>
      </c>
      <c r="E5" s="7" t="s">
        <v>25</v>
      </c>
      <c r="G5" s="56"/>
      <c r="J5" s="56"/>
      <c r="K5" s="56"/>
      <c r="L5" s="56"/>
      <c r="M5" s="56"/>
      <c r="N5" s="56"/>
      <c r="O5" s="56"/>
      <c r="P5" s="56"/>
      <c r="Q5" s="56"/>
      <c r="R5" s="46"/>
      <c r="S5" s="46"/>
      <c r="T5" s="56"/>
      <c r="U5" s="56"/>
      <c r="V5" s="56"/>
      <c r="W5" s="56"/>
      <c r="X5" s="46"/>
      <c r="Y5" s="56"/>
      <c r="Z5" s="46"/>
      <c r="AA5" s="46"/>
      <c r="AB5" s="56"/>
      <c r="AC5" s="46"/>
      <c r="AD5" s="56"/>
      <c r="AE5" s="48"/>
      <c r="AF5" s="24"/>
      <c r="AG5" s="24"/>
      <c r="AH5" s="24"/>
      <c r="AI5" s="24"/>
      <c r="AJ5" s="24"/>
    </row>
    <row r="6" spans="1:37" ht="15.75" customHeight="1" x14ac:dyDescent="0.15">
      <c r="A6" s="8" t="s">
        <v>2</v>
      </c>
      <c r="B6" s="11" t="s">
        <v>78</v>
      </c>
      <c r="E6" s="7" t="s">
        <v>26</v>
      </c>
      <c r="G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48"/>
      <c r="AF6" s="9"/>
      <c r="AG6" s="9"/>
      <c r="AH6" s="9"/>
      <c r="AI6" s="9"/>
      <c r="AJ6" s="9"/>
    </row>
    <row r="7" spans="1:37" ht="15.75" customHeight="1" x14ac:dyDescent="0.15">
      <c r="A7" s="8" t="s">
        <v>3</v>
      </c>
      <c r="B7" s="10" t="s">
        <v>79</v>
      </c>
      <c r="G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F7" s="9"/>
      <c r="AG7" s="9"/>
      <c r="AH7" s="9"/>
      <c r="AI7" s="9"/>
      <c r="AJ7" s="9"/>
    </row>
    <row r="8" spans="1:37" ht="15.75" customHeight="1" x14ac:dyDescent="0.15">
      <c r="A8" s="8" t="s">
        <v>4</v>
      </c>
      <c r="B8" s="19" t="s">
        <v>13</v>
      </c>
    </row>
    <row r="9" spans="1:37" ht="15.75" customHeight="1" x14ac:dyDescent="0.15">
      <c r="A9" s="8"/>
      <c r="B9" s="19"/>
      <c r="E9" s="58" t="s">
        <v>10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32"/>
      <c r="S9" s="32"/>
      <c r="T9" s="58"/>
      <c r="U9" s="58"/>
      <c r="V9" s="58"/>
      <c r="W9" s="58"/>
      <c r="X9" s="32"/>
      <c r="Y9" s="58"/>
      <c r="Z9" s="32"/>
      <c r="AA9" s="32"/>
      <c r="AB9" s="58"/>
      <c r="AC9" s="32"/>
      <c r="AD9" s="58"/>
      <c r="AE9" s="55"/>
      <c r="AF9" s="58" t="s">
        <v>15</v>
      </c>
      <c r="AG9" s="58"/>
      <c r="AH9" s="58"/>
      <c r="AI9" s="58"/>
      <c r="AJ9" s="58"/>
    </row>
    <row r="10" spans="1:37" s="23" customFormat="1" ht="15.75" customHeight="1" x14ac:dyDescent="0.2">
      <c r="B10" s="29"/>
      <c r="C10" s="62"/>
      <c r="D10" s="28" t="s">
        <v>66</v>
      </c>
      <c r="E10" s="28" t="s">
        <v>67</v>
      </c>
      <c r="F10" s="70" t="s">
        <v>80</v>
      </c>
      <c r="G10" s="28" t="s">
        <v>46</v>
      </c>
      <c r="H10" s="28" t="s">
        <v>46</v>
      </c>
      <c r="I10" s="28" t="s">
        <v>17</v>
      </c>
      <c r="J10" s="28" t="s">
        <v>12</v>
      </c>
      <c r="K10" s="39" t="s">
        <v>12</v>
      </c>
      <c r="L10" s="28" t="s">
        <v>12</v>
      </c>
      <c r="M10" s="28" t="s">
        <v>12</v>
      </c>
      <c r="N10" s="28" t="s">
        <v>12</v>
      </c>
      <c r="O10" s="28" t="s">
        <v>12</v>
      </c>
      <c r="P10" s="28" t="s">
        <v>12</v>
      </c>
      <c r="Q10" s="28" t="s">
        <v>12</v>
      </c>
      <c r="R10" s="28" t="s">
        <v>13</v>
      </c>
      <c r="S10" s="28" t="s">
        <v>13</v>
      </c>
      <c r="T10" s="28" t="s">
        <v>13</v>
      </c>
      <c r="U10" s="28" t="s">
        <v>13</v>
      </c>
      <c r="V10" s="28" t="s">
        <v>13</v>
      </c>
      <c r="W10" s="28" t="s">
        <v>13</v>
      </c>
      <c r="X10" s="28" t="s">
        <v>16</v>
      </c>
      <c r="Y10" s="28" t="s">
        <v>16</v>
      </c>
      <c r="Z10" s="28" t="s">
        <v>16</v>
      </c>
      <c r="AA10" s="28" t="s">
        <v>16</v>
      </c>
      <c r="AB10" s="28" t="s">
        <v>16</v>
      </c>
      <c r="AC10" s="28" t="s">
        <v>16</v>
      </c>
      <c r="AD10" s="28" t="s">
        <v>16</v>
      </c>
      <c r="AE10" s="49"/>
      <c r="AF10" s="27" t="s">
        <v>12</v>
      </c>
      <c r="AG10" s="27" t="s">
        <v>19</v>
      </c>
      <c r="AH10" s="27" t="s">
        <v>18</v>
      </c>
      <c r="AI10" s="27" t="s">
        <v>18</v>
      </c>
      <c r="AJ10" s="27" t="s">
        <v>18</v>
      </c>
    </row>
    <row r="11" spans="1:37" s="36" customFormat="1" ht="12" customHeight="1" x14ac:dyDescent="0.15">
      <c r="A11" s="33"/>
      <c r="B11" s="34"/>
      <c r="C11" s="60"/>
      <c r="D11" s="40"/>
      <c r="E11" s="40"/>
      <c r="F11" s="40"/>
      <c r="G11" s="40">
        <v>15</v>
      </c>
      <c r="H11" s="40">
        <v>32.5</v>
      </c>
      <c r="I11" s="40">
        <v>5</v>
      </c>
      <c r="J11" s="40">
        <v>10</v>
      </c>
      <c r="K11" s="40">
        <v>15</v>
      </c>
      <c r="L11" s="45">
        <v>20</v>
      </c>
      <c r="M11" s="45">
        <v>25</v>
      </c>
      <c r="N11" s="45">
        <v>30</v>
      </c>
      <c r="O11" s="45">
        <v>35</v>
      </c>
      <c r="P11" s="40">
        <v>40</v>
      </c>
      <c r="Q11" s="40">
        <v>75</v>
      </c>
      <c r="R11" s="40">
        <v>4</v>
      </c>
      <c r="S11" s="40">
        <v>6</v>
      </c>
      <c r="T11" s="40">
        <v>8</v>
      </c>
      <c r="U11" s="40">
        <v>20</v>
      </c>
      <c r="V11" s="40">
        <v>25</v>
      </c>
      <c r="W11" s="40">
        <v>50</v>
      </c>
      <c r="X11" s="40">
        <v>45</v>
      </c>
      <c r="Y11" s="40">
        <v>50</v>
      </c>
      <c r="Z11" s="40">
        <v>60</v>
      </c>
      <c r="AA11" s="40">
        <v>70</v>
      </c>
      <c r="AB11" s="40">
        <v>80</v>
      </c>
      <c r="AC11" s="40">
        <v>85</v>
      </c>
      <c r="AD11" s="40">
        <v>100</v>
      </c>
      <c r="AE11" s="50"/>
      <c r="AF11" s="35" t="s">
        <v>62</v>
      </c>
      <c r="AG11" s="35" t="s">
        <v>63</v>
      </c>
      <c r="AH11" s="35" t="s">
        <v>60</v>
      </c>
      <c r="AI11" s="35" t="s">
        <v>64</v>
      </c>
      <c r="AJ11" s="35" t="s">
        <v>61</v>
      </c>
    </row>
    <row r="12" spans="1:37" ht="12" customHeight="1" x14ac:dyDescent="0.15">
      <c r="A12" s="1" t="s">
        <v>5</v>
      </c>
      <c r="B12" s="2" t="s">
        <v>6</v>
      </c>
      <c r="C12" s="63" t="s">
        <v>20</v>
      </c>
      <c r="D12" s="68"/>
      <c r="E12" s="68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51"/>
      <c r="AF12" s="12"/>
      <c r="AG12" s="12"/>
      <c r="AH12" s="12"/>
      <c r="AI12" s="12"/>
      <c r="AJ12" s="12"/>
    </row>
    <row r="13" spans="1:37" ht="12" customHeight="1" x14ac:dyDescent="0.15">
      <c r="A13" s="67" t="s">
        <v>27</v>
      </c>
      <c r="B13" s="13"/>
      <c r="C13" s="5"/>
      <c r="D13" s="41"/>
      <c r="E13" s="41"/>
      <c r="F13" s="31" t="s">
        <v>81</v>
      </c>
      <c r="G13" s="31"/>
      <c r="H13" s="31"/>
      <c r="I13" s="30"/>
      <c r="J13" s="31"/>
      <c r="K13" s="31"/>
      <c r="L13" s="30"/>
      <c r="M13" s="30"/>
      <c r="N13" s="30"/>
      <c r="O13" s="30"/>
      <c r="P13" s="30"/>
      <c r="Q13" s="31"/>
      <c r="R13" s="30"/>
      <c r="S13" s="30"/>
      <c r="T13" s="30"/>
      <c r="U13" s="30"/>
      <c r="V13" s="31"/>
      <c r="W13" s="30"/>
      <c r="X13" s="30"/>
      <c r="Y13" s="30"/>
      <c r="Z13" s="30"/>
      <c r="AA13" s="30"/>
      <c r="AB13" s="30"/>
      <c r="AC13" s="30"/>
      <c r="AD13" s="30"/>
      <c r="AE13" s="51"/>
      <c r="AF13" s="12"/>
      <c r="AG13" s="12"/>
      <c r="AH13" s="12"/>
      <c r="AI13" s="12"/>
      <c r="AJ13" s="12"/>
      <c r="AK13" s="18">
        <f t="shared" ref="AK13:AK34" si="0">SUM(D13:AJ13)</f>
        <v>0</v>
      </c>
    </row>
    <row r="14" spans="1:37" ht="12" customHeight="1" x14ac:dyDescent="0.15">
      <c r="A14" s="67">
        <v>1</v>
      </c>
      <c r="B14" s="13" t="s">
        <v>65</v>
      </c>
      <c r="C14" s="5"/>
      <c r="D14" s="41" t="s">
        <v>68</v>
      </c>
      <c r="E14" s="41">
        <v>2</v>
      </c>
      <c r="F14" s="31" t="s">
        <v>81</v>
      </c>
      <c r="G14" s="31"/>
      <c r="H14" s="31"/>
      <c r="I14" s="30">
        <v>75.599999999999994</v>
      </c>
      <c r="J14" s="31"/>
      <c r="K14" s="31"/>
      <c r="L14" s="30"/>
      <c r="M14" s="30"/>
      <c r="N14" s="30"/>
      <c r="O14" s="30"/>
      <c r="P14" s="30"/>
      <c r="Q14" s="31"/>
      <c r="R14" s="30"/>
      <c r="S14" s="30"/>
      <c r="T14" s="30"/>
      <c r="U14" s="30"/>
      <c r="V14" s="31"/>
      <c r="W14" s="30"/>
      <c r="X14" s="30"/>
      <c r="Y14" s="30"/>
      <c r="Z14" s="30"/>
      <c r="AA14" s="30"/>
      <c r="AB14" s="30"/>
      <c r="AC14" s="30"/>
      <c r="AD14" s="30"/>
      <c r="AE14" s="51"/>
      <c r="AF14" s="12"/>
      <c r="AG14" s="12"/>
      <c r="AH14" s="12"/>
      <c r="AI14" s="12"/>
      <c r="AJ14" s="12"/>
      <c r="AK14" s="18">
        <f t="shared" si="0"/>
        <v>77.599999999999994</v>
      </c>
    </row>
    <row r="15" spans="1:37" ht="12" customHeight="1" x14ac:dyDescent="0.15">
      <c r="A15" s="67">
        <v>2</v>
      </c>
      <c r="B15" s="13" t="s">
        <v>71</v>
      </c>
      <c r="C15" s="5"/>
      <c r="D15" s="41" t="s">
        <v>68</v>
      </c>
      <c r="E15" s="41">
        <v>2</v>
      </c>
      <c r="F15" s="31" t="s">
        <v>81</v>
      </c>
      <c r="G15" s="31"/>
      <c r="H15" s="31"/>
      <c r="I15" s="30"/>
      <c r="J15" s="30">
        <v>294.2</v>
      </c>
      <c r="K15" s="31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51"/>
      <c r="AF15" s="12"/>
      <c r="AG15" s="12"/>
      <c r="AH15" s="12"/>
      <c r="AI15" s="12"/>
      <c r="AJ15" s="12"/>
      <c r="AK15" s="18">
        <f t="shared" si="0"/>
        <v>296.2</v>
      </c>
    </row>
    <row r="16" spans="1:37" ht="12" customHeight="1" x14ac:dyDescent="0.15">
      <c r="A16" s="67">
        <v>3</v>
      </c>
      <c r="B16" s="13" t="s">
        <v>28</v>
      </c>
      <c r="C16" s="5"/>
      <c r="D16" s="41" t="s">
        <v>69</v>
      </c>
      <c r="E16" s="41">
        <v>2</v>
      </c>
      <c r="F16" s="31" t="s">
        <v>81</v>
      </c>
      <c r="G16" s="31"/>
      <c r="H16" s="31"/>
      <c r="I16" s="30">
        <v>41.7</v>
      </c>
      <c r="J16" s="31"/>
      <c r="K16" s="31"/>
      <c r="L16" s="30"/>
      <c r="M16" s="30"/>
      <c r="N16" s="30"/>
      <c r="O16" s="30"/>
      <c r="P16" s="30"/>
      <c r="Q16" s="31"/>
      <c r="R16" s="30"/>
      <c r="S16" s="30"/>
      <c r="T16" s="30"/>
      <c r="U16" s="30"/>
      <c r="V16" s="31"/>
      <c r="W16" s="30"/>
      <c r="X16" s="30"/>
      <c r="Y16" s="30"/>
      <c r="Z16" s="30"/>
      <c r="AA16" s="30"/>
      <c r="AB16" s="30"/>
      <c r="AC16" s="30"/>
      <c r="AD16" s="30"/>
      <c r="AE16" s="51"/>
      <c r="AF16" s="12"/>
      <c r="AG16" s="12"/>
      <c r="AH16" s="12"/>
      <c r="AI16" s="12"/>
      <c r="AJ16" s="12"/>
      <c r="AK16" s="18">
        <f t="shared" si="0"/>
        <v>43.7</v>
      </c>
    </row>
    <row r="17" spans="1:37" ht="12" customHeight="1" x14ac:dyDescent="0.15">
      <c r="A17" s="67">
        <v>4</v>
      </c>
      <c r="B17" s="13" t="s">
        <v>29</v>
      </c>
      <c r="C17" s="5"/>
      <c r="D17" s="41" t="s">
        <v>70</v>
      </c>
      <c r="E17" s="41">
        <v>2</v>
      </c>
      <c r="F17" s="31" t="s">
        <v>81</v>
      </c>
      <c r="G17" s="31"/>
      <c r="H17" s="31"/>
      <c r="I17" s="30"/>
      <c r="J17" s="30">
        <v>104.1</v>
      </c>
      <c r="K17" s="31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51"/>
      <c r="AF17" s="12"/>
      <c r="AG17" s="12"/>
      <c r="AH17" s="12"/>
      <c r="AI17" s="12"/>
      <c r="AJ17" s="12"/>
      <c r="AK17" s="18">
        <f t="shared" si="0"/>
        <v>106.1</v>
      </c>
    </row>
    <row r="18" spans="1:37" ht="12" customHeight="1" x14ac:dyDescent="0.15">
      <c r="A18" s="67" t="s">
        <v>72</v>
      </c>
      <c r="B18" s="13"/>
      <c r="C18" s="5"/>
      <c r="D18" s="41"/>
      <c r="E18" s="41"/>
      <c r="F18" s="31" t="s">
        <v>81</v>
      </c>
      <c r="G18" s="31"/>
      <c r="H18" s="31"/>
      <c r="I18" s="30"/>
      <c r="J18" s="31"/>
      <c r="K18" s="31"/>
      <c r="L18" s="30"/>
      <c r="M18" s="30"/>
      <c r="N18" s="30"/>
      <c r="O18" s="30"/>
      <c r="P18" s="30"/>
      <c r="Q18" s="31"/>
      <c r="R18" s="30"/>
      <c r="S18" s="30"/>
      <c r="T18" s="30"/>
      <c r="U18" s="30"/>
      <c r="V18" s="31"/>
      <c r="W18" s="30"/>
      <c r="X18" s="30"/>
      <c r="Y18" s="30"/>
      <c r="Z18" s="30"/>
      <c r="AA18" s="30"/>
      <c r="AB18" s="30"/>
      <c r="AC18" s="30"/>
      <c r="AD18" s="30"/>
      <c r="AE18" s="51"/>
      <c r="AF18" s="12"/>
      <c r="AG18" s="12"/>
      <c r="AH18" s="12"/>
      <c r="AI18" s="12"/>
      <c r="AJ18" s="12"/>
      <c r="AK18" s="18">
        <f t="shared" ref="AK18:AK22" si="1">SUM(D18:AJ18)</f>
        <v>0</v>
      </c>
    </row>
    <row r="19" spans="1:37" ht="12" customHeight="1" x14ac:dyDescent="0.15">
      <c r="A19" s="67">
        <v>1</v>
      </c>
      <c r="B19" s="13" t="s">
        <v>65</v>
      </c>
      <c r="C19" s="5"/>
      <c r="D19" s="41" t="s">
        <v>75</v>
      </c>
      <c r="E19" s="41">
        <v>1</v>
      </c>
      <c r="F19" s="31" t="s">
        <v>81</v>
      </c>
      <c r="G19" s="31"/>
      <c r="H19" s="31"/>
      <c r="I19" s="30">
        <v>215.7</v>
      </c>
      <c r="J19" s="31"/>
      <c r="K19" s="31"/>
      <c r="L19" s="30"/>
      <c r="M19" s="30"/>
      <c r="N19" s="30"/>
      <c r="O19" s="30"/>
      <c r="P19" s="30"/>
      <c r="Q19" s="31"/>
      <c r="R19" s="30"/>
      <c r="S19" s="30"/>
      <c r="T19" s="30"/>
      <c r="U19" s="30"/>
      <c r="V19" s="31"/>
      <c r="W19" s="30"/>
      <c r="X19" s="30"/>
      <c r="Y19" s="30"/>
      <c r="Z19" s="30"/>
      <c r="AA19" s="30"/>
      <c r="AB19" s="30"/>
      <c r="AC19" s="30"/>
      <c r="AD19" s="30"/>
      <c r="AE19" s="51"/>
      <c r="AF19" s="12"/>
      <c r="AG19" s="12"/>
      <c r="AH19" s="12"/>
      <c r="AI19" s="12"/>
      <c r="AJ19" s="12"/>
      <c r="AK19" s="18">
        <f t="shared" si="1"/>
        <v>216.7</v>
      </c>
    </row>
    <row r="20" spans="1:37" ht="12" customHeight="1" x14ac:dyDescent="0.15">
      <c r="A20" s="67">
        <v>2</v>
      </c>
      <c r="B20" s="13" t="s">
        <v>71</v>
      </c>
      <c r="C20" s="5"/>
      <c r="D20" s="41" t="s">
        <v>75</v>
      </c>
      <c r="E20" s="41">
        <v>1</v>
      </c>
      <c r="F20" s="31" t="s">
        <v>81</v>
      </c>
      <c r="G20" s="31"/>
      <c r="H20" s="31"/>
      <c r="I20" s="30"/>
      <c r="J20" s="30">
        <v>517.70000000000005</v>
      </c>
      <c r="K20" s="31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51"/>
      <c r="AF20" s="12"/>
      <c r="AG20" s="12"/>
      <c r="AH20" s="12"/>
      <c r="AI20" s="12"/>
      <c r="AJ20" s="12"/>
      <c r="AK20" s="18">
        <f t="shared" si="1"/>
        <v>518.70000000000005</v>
      </c>
    </row>
    <row r="21" spans="1:37" ht="12" customHeight="1" x14ac:dyDescent="0.15">
      <c r="A21" s="67">
        <v>3</v>
      </c>
      <c r="B21" s="13" t="s">
        <v>28</v>
      </c>
      <c r="C21" s="5"/>
      <c r="D21" s="41" t="s">
        <v>69</v>
      </c>
      <c r="E21" s="41">
        <v>2</v>
      </c>
      <c r="F21" s="31" t="s">
        <v>81</v>
      </c>
      <c r="G21" s="31"/>
      <c r="H21" s="31"/>
      <c r="I21" s="30">
        <v>41.7</v>
      </c>
      <c r="J21" s="31"/>
      <c r="K21" s="31"/>
      <c r="L21" s="30"/>
      <c r="M21" s="30"/>
      <c r="N21" s="30"/>
      <c r="O21" s="30"/>
      <c r="P21" s="30"/>
      <c r="Q21" s="31"/>
      <c r="R21" s="30"/>
      <c r="S21" s="30"/>
      <c r="T21" s="30"/>
      <c r="U21" s="30"/>
      <c r="V21" s="31"/>
      <c r="W21" s="30"/>
      <c r="X21" s="30"/>
      <c r="Y21" s="30"/>
      <c r="Z21" s="30"/>
      <c r="AA21" s="30"/>
      <c r="AB21" s="30"/>
      <c r="AC21" s="30"/>
      <c r="AD21" s="30"/>
      <c r="AE21" s="51"/>
      <c r="AF21" s="12"/>
      <c r="AG21" s="12"/>
      <c r="AH21" s="12"/>
      <c r="AI21" s="12"/>
      <c r="AJ21" s="12"/>
      <c r="AK21" s="18">
        <f t="shared" si="1"/>
        <v>43.7</v>
      </c>
    </row>
    <row r="22" spans="1:37" ht="12" customHeight="1" x14ac:dyDescent="0.15">
      <c r="A22" s="67">
        <v>4</v>
      </c>
      <c r="B22" s="13" t="s">
        <v>29</v>
      </c>
      <c r="C22" s="5"/>
      <c r="D22" s="41" t="s">
        <v>70</v>
      </c>
      <c r="E22" s="41">
        <v>2</v>
      </c>
      <c r="F22" s="31" t="s">
        <v>81</v>
      </c>
      <c r="G22" s="31"/>
      <c r="H22" s="31"/>
      <c r="I22" s="30"/>
      <c r="J22" s="30">
        <v>104.1</v>
      </c>
      <c r="K22" s="31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51"/>
      <c r="AF22" s="12"/>
      <c r="AG22" s="12"/>
      <c r="AH22" s="12"/>
      <c r="AI22" s="12"/>
      <c r="AJ22" s="12"/>
      <c r="AK22" s="18">
        <f t="shared" si="1"/>
        <v>106.1</v>
      </c>
    </row>
    <row r="23" spans="1:37" ht="12" customHeight="1" x14ac:dyDescent="0.15">
      <c r="A23" s="67"/>
      <c r="B23" s="13" t="s">
        <v>73</v>
      </c>
      <c r="C23" s="5"/>
      <c r="D23" s="41" t="s">
        <v>75</v>
      </c>
      <c r="E23" s="41">
        <v>1</v>
      </c>
      <c r="F23" s="31" t="s">
        <v>81</v>
      </c>
      <c r="G23" s="31"/>
      <c r="H23" s="31"/>
      <c r="I23" s="30">
        <v>388.3</v>
      </c>
      <c r="J23" s="30"/>
      <c r="K23" s="31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51"/>
      <c r="AF23" s="12"/>
      <c r="AG23" s="12"/>
      <c r="AH23" s="12"/>
      <c r="AI23" s="12"/>
      <c r="AJ23" s="12"/>
      <c r="AK23" s="18"/>
    </row>
    <row r="24" spans="1:37" ht="12" customHeight="1" x14ac:dyDescent="0.15">
      <c r="A24" s="67"/>
      <c r="B24" s="13" t="s">
        <v>74</v>
      </c>
      <c r="C24" s="5"/>
      <c r="D24" s="41" t="s">
        <v>75</v>
      </c>
      <c r="E24" s="41">
        <v>1</v>
      </c>
      <c r="F24" s="31" t="s">
        <v>81</v>
      </c>
      <c r="G24" s="31"/>
      <c r="H24" s="31"/>
      <c r="I24" s="30"/>
      <c r="J24" s="31">
        <v>862.8</v>
      </c>
      <c r="K24" s="31"/>
      <c r="L24" s="30"/>
      <c r="M24" s="30"/>
      <c r="N24" s="30"/>
      <c r="O24" s="30"/>
      <c r="P24" s="30"/>
      <c r="Q24" s="31"/>
      <c r="R24" s="30"/>
      <c r="S24" s="30"/>
      <c r="T24" s="30"/>
      <c r="U24" s="30"/>
      <c r="V24" s="31"/>
      <c r="W24" s="30"/>
      <c r="X24" s="30"/>
      <c r="Y24" s="30"/>
      <c r="Z24" s="30"/>
      <c r="AA24" s="30"/>
      <c r="AB24" s="30"/>
      <c r="AC24" s="30"/>
      <c r="AD24" s="30"/>
      <c r="AE24" s="51"/>
      <c r="AF24" s="12"/>
      <c r="AG24" s="12"/>
      <c r="AH24" s="12"/>
      <c r="AI24" s="12"/>
      <c r="AJ24" s="12"/>
      <c r="AK24" s="18">
        <f t="shared" si="0"/>
        <v>863.8</v>
      </c>
    </row>
    <row r="25" spans="1:37" ht="12" customHeight="1" x14ac:dyDescent="0.15">
      <c r="A25" s="67" t="s">
        <v>82</v>
      </c>
      <c r="B25" s="13" t="s">
        <v>30</v>
      </c>
      <c r="C25" s="5" t="s">
        <v>31</v>
      </c>
      <c r="D25" s="41" t="s">
        <v>32</v>
      </c>
      <c r="E25" s="41"/>
      <c r="F25" s="31" t="s">
        <v>83</v>
      </c>
      <c r="G25" s="31"/>
      <c r="H25" s="31"/>
      <c r="I25" s="30"/>
      <c r="J25" s="31"/>
      <c r="K25" s="31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1"/>
      <c r="W25" s="30"/>
      <c r="X25" s="30"/>
      <c r="Y25" s="30"/>
      <c r="Z25" s="30"/>
      <c r="AA25" s="30"/>
      <c r="AB25" s="30"/>
      <c r="AC25" s="30"/>
      <c r="AD25" s="30"/>
      <c r="AE25" s="51"/>
      <c r="AF25" s="12"/>
      <c r="AG25" s="12"/>
      <c r="AH25" s="12"/>
      <c r="AI25" s="12"/>
      <c r="AJ25" s="12"/>
      <c r="AK25" s="18">
        <f>SUM(D25:AJ25)</f>
        <v>0</v>
      </c>
    </row>
    <row r="26" spans="1:37" ht="12" customHeight="1" x14ac:dyDescent="0.15">
      <c r="A26" s="67" t="s">
        <v>21</v>
      </c>
      <c r="B26" s="13" t="s">
        <v>76</v>
      </c>
      <c r="C26" s="5"/>
      <c r="D26" s="41"/>
      <c r="E26" s="41">
        <v>27</v>
      </c>
      <c r="F26" s="31" t="s">
        <v>81</v>
      </c>
      <c r="G26" s="31"/>
      <c r="H26" s="31"/>
      <c r="I26" s="30"/>
      <c r="J26" s="31"/>
      <c r="K26" s="31"/>
      <c r="L26" s="30"/>
      <c r="M26" s="30"/>
      <c r="N26" s="30">
        <v>2.2000000000000002</v>
      </c>
      <c r="O26" s="30"/>
      <c r="P26" s="30"/>
      <c r="Q26" s="31"/>
      <c r="R26" s="30"/>
      <c r="S26" s="30"/>
      <c r="T26" s="30"/>
      <c r="U26" s="30"/>
      <c r="V26" s="31"/>
      <c r="W26" s="30"/>
      <c r="X26" s="30"/>
      <c r="Y26" s="30"/>
      <c r="Z26" s="30"/>
      <c r="AA26" s="30"/>
      <c r="AB26" s="30"/>
      <c r="AC26" s="30"/>
      <c r="AD26" s="30"/>
      <c r="AE26" s="51"/>
      <c r="AF26" s="12"/>
      <c r="AG26" s="12"/>
      <c r="AH26" s="12"/>
      <c r="AI26" s="12"/>
      <c r="AJ26" s="12"/>
      <c r="AK26" s="18"/>
    </row>
    <row r="27" spans="1:37" ht="12" customHeight="1" x14ac:dyDescent="0.15">
      <c r="A27" s="67" t="s">
        <v>22</v>
      </c>
      <c r="B27" s="13" t="s">
        <v>47</v>
      </c>
      <c r="C27" s="5"/>
      <c r="D27" s="41"/>
      <c r="E27" s="41">
        <v>27</v>
      </c>
      <c r="F27" s="31" t="s">
        <v>81</v>
      </c>
      <c r="G27" s="31"/>
      <c r="H27" s="31"/>
      <c r="I27" s="30"/>
      <c r="J27" s="31"/>
      <c r="K27" s="31"/>
      <c r="L27" s="30">
        <v>1.1000000000000001</v>
      </c>
      <c r="M27" s="30"/>
      <c r="N27" s="30"/>
      <c r="O27" s="30"/>
      <c r="P27" s="30"/>
      <c r="Q27" s="31"/>
      <c r="R27" s="30"/>
      <c r="S27" s="30"/>
      <c r="T27" s="30"/>
      <c r="U27" s="30"/>
      <c r="V27" s="31"/>
      <c r="W27" s="30"/>
      <c r="X27" s="30"/>
      <c r="Y27" s="30"/>
      <c r="Z27" s="30"/>
      <c r="AA27" s="30"/>
      <c r="AB27" s="30"/>
      <c r="AC27" s="30"/>
      <c r="AD27" s="30"/>
      <c r="AE27" s="51"/>
      <c r="AF27" s="12"/>
      <c r="AG27" s="12"/>
      <c r="AH27" s="12"/>
      <c r="AI27" s="12"/>
      <c r="AJ27" s="12"/>
      <c r="AK27" s="18"/>
    </row>
    <row r="28" spans="1:37" ht="12" customHeight="1" x14ac:dyDescent="0.15">
      <c r="A28" s="67" t="s">
        <v>23</v>
      </c>
      <c r="B28" s="13" t="s">
        <v>43</v>
      </c>
      <c r="C28" s="5"/>
      <c r="D28" s="41"/>
      <c r="E28" s="41">
        <v>27</v>
      </c>
      <c r="F28" s="31" t="s">
        <v>81</v>
      </c>
      <c r="G28" s="31"/>
      <c r="H28" s="31"/>
      <c r="I28" s="30"/>
      <c r="J28" s="31"/>
      <c r="K28" s="31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>
        <v>1</v>
      </c>
      <c r="Y28" s="30"/>
      <c r="Z28" s="30"/>
      <c r="AA28" s="30"/>
      <c r="AB28" s="30"/>
      <c r="AC28" s="30"/>
      <c r="AD28" s="30"/>
      <c r="AE28" s="51"/>
      <c r="AF28" s="12"/>
      <c r="AG28" s="12"/>
      <c r="AH28" s="12"/>
      <c r="AI28" s="12"/>
      <c r="AJ28" s="12"/>
      <c r="AK28" s="18"/>
    </row>
    <row r="29" spans="1:37" ht="12" customHeight="1" x14ac:dyDescent="0.15">
      <c r="A29" s="67" t="s">
        <v>24</v>
      </c>
      <c r="B29" s="13" t="s">
        <v>42</v>
      </c>
      <c r="C29" s="5"/>
      <c r="D29" s="41"/>
      <c r="E29" s="41">
        <v>27</v>
      </c>
      <c r="F29" s="31" t="s">
        <v>81</v>
      </c>
      <c r="G29" s="31"/>
      <c r="H29" s="31"/>
      <c r="I29" s="30"/>
      <c r="J29" s="31"/>
      <c r="K29" s="31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1"/>
      <c r="W29" s="30"/>
      <c r="X29" s="30"/>
      <c r="Y29" s="30"/>
      <c r="Z29" s="30"/>
      <c r="AA29" s="30"/>
      <c r="AB29" s="30">
        <v>10</v>
      </c>
      <c r="AC29" s="30"/>
      <c r="AD29" s="30"/>
      <c r="AE29" s="51"/>
      <c r="AF29" s="12"/>
      <c r="AG29" s="12"/>
      <c r="AH29" s="12"/>
      <c r="AI29" s="12"/>
      <c r="AJ29" s="12"/>
      <c r="AK29" s="18">
        <f t="shared" si="0"/>
        <v>37</v>
      </c>
    </row>
    <row r="30" spans="1:37" ht="12" customHeight="1" x14ac:dyDescent="0.15">
      <c r="A30" s="67"/>
      <c r="B30" s="13"/>
      <c r="C30" s="5"/>
      <c r="D30" s="41"/>
      <c r="E30" s="41"/>
      <c r="F30" s="31"/>
      <c r="G30" s="31"/>
      <c r="H30" s="31"/>
      <c r="I30" s="30"/>
      <c r="J30" s="31"/>
      <c r="K30" s="31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1"/>
      <c r="W30" s="30"/>
      <c r="X30" s="30"/>
      <c r="Y30" s="30"/>
      <c r="Z30" s="30"/>
      <c r="AA30" s="30"/>
      <c r="AB30" s="30"/>
      <c r="AC30" s="30"/>
      <c r="AD30" s="30"/>
      <c r="AE30" s="51"/>
      <c r="AF30" s="12"/>
      <c r="AG30" s="12"/>
      <c r="AH30" s="12"/>
      <c r="AI30" s="12"/>
      <c r="AJ30" s="12"/>
      <c r="AK30" s="18"/>
    </row>
    <row r="31" spans="1:37" ht="12" customHeight="1" x14ac:dyDescent="0.15">
      <c r="A31" s="67" t="s">
        <v>84</v>
      </c>
      <c r="B31" s="13" t="s">
        <v>30</v>
      </c>
      <c r="C31" s="5" t="s">
        <v>33</v>
      </c>
      <c r="D31" s="41"/>
      <c r="E31" s="41"/>
      <c r="F31" s="31" t="s">
        <v>83</v>
      </c>
      <c r="G31" s="31"/>
      <c r="H31" s="31"/>
      <c r="I31" s="30"/>
      <c r="J31" s="31"/>
      <c r="K31" s="31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1"/>
      <c r="W31" s="30"/>
      <c r="X31" s="30"/>
      <c r="Y31" s="30"/>
      <c r="Z31" s="30"/>
      <c r="AA31" s="30"/>
      <c r="AB31" s="30"/>
      <c r="AC31" s="30"/>
      <c r="AD31" s="30"/>
      <c r="AE31" s="51"/>
      <c r="AF31" s="12"/>
      <c r="AG31" s="12"/>
      <c r="AH31" s="12"/>
      <c r="AI31" s="12"/>
      <c r="AJ31" s="12"/>
      <c r="AK31" s="18">
        <f t="shared" si="0"/>
        <v>0</v>
      </c>
    </row>
    <row r="32" spans="1:37" ht="12" customHeight="1" x14ac:dyDescent="0.15">
      <c r="A32" s="67" t="s">
        <v>21</v>
      </c>
      <c r="B32" s="13" t="s">
        <v>44</v>
      </c>
      <c r="C32" s="5"/>
      <c r="D32" s="41" t="s">
        <v>45</v>
      </c>
      <c r="E32" s="41">
        <v>4</v>
      </c>
      <c r="F32" s="31" t="s">
        <v>81</v>
      </c>
      <c r="G32" s="31"/>
      <c r="H32" s="31"/>
      <c r="I32" s="30"/>
      <c r="J32" s="31"/>
      <c r="K32" s="31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>
        <v>0.4</v>
      </c>
      <c r="W32" s="30"/>
      <c r="X32" s="30"/>
      <c r="Y32" s="30"/>
      <c r="Z32" s="30"/>
      <c r="AA32" s="30"/>
      <c r="AB32" s="30"/>
      <c r="AC32" s="30"/>
      <c r="AD32" s="30"/>
      <c r="AE32" s="51"/>
      <c r="AF32" s="12"/>
      <c r="AG32" s="12"/>
      <c r="AH32" s="12"/>
      <c r="AI32" s="12"/>
      <c r="AJ32" s="12"/>
      <c r="AK32" s="18">
        <f t="shared" si="0"/>
        <v>4.4000000000000004</v>
      </c>
    </row>
    <row r="33" spans="1:38" ht="12" customHeight="1" x14ac:dyDescent="0.15">
      <c r="A33" s="67"/>
      <c r="B33" s="13"/>
      <c r="C33" s="5"/>
      <c r="D33" s="41"/>
      <c r="E33" s="41"/>
      <c r="F33" s="31"/>
      <c r="G33" s="31"/>
      <c r="H33" s="31"/>
      <c r="I33" s="30"/>
      <c r="J33" s="31"/>
      <c r="K33" s="31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1"/>
      <c r="W33" s="30"/>
      <c r="X33" s="30"/>
      <c r="Y33" s="30"/>
      <c r="Z33" s="30"/>
      <c r="AA33" s="30"/>
      <c r="AB33" s="30"/>
      <c r="AC33" s="30"/>
      <c r="AD33" s="30"/>
      <c r="AE33" s="51"/>
      <c r="AF33" s="12"/>
      <c r="AG33" s="12"/>
      <c r="AH33" s="12"/>
      <c r="AI33" s="12"/>
      <c r="AJ33" s="12"/>
      <c r="AK33" s="18">
        <f t="shared" si="0"/>
        <v>0</v>
      </c>
    </row>
    <row r="34" spans="1:38" ht="12" customHeight="1" x14ac:dyDescent="0.15">
      <c r="A34" s="67"/>
      <c r="B34" s="13"/>
      <c r="C34" s="5"/>
      <c r="D34" s="41"/>
      <c r="E34" s="41"/>
      <c r="F34" s="31"/>
      <c r="G34" s="31"/>
      <c r="H34" s="31"/>
      <c r="I34" s="30"/>
      <c r="J34" s="31"/>
      <c r="K34" s="31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1"/>
      <c r="W34" s="30"/>
      <c r="X34" s="30"/>
      <c r="Y34" s="30"/>
      <c r="Z34" s="30"/>
      <c r="AA34" s="30"/>
      <c r="AB34" s="30"/>
      <c r="AC34" s="30"/>
      <c r="AD34" s="30"/>
      <c r="AE34" s="51"/>
      <c r="AF34" s="12"/>
      <c r="AG34" s="12"/>
      <c r="AH34" s="12"/>
      <c r="AI34" s="12"/>
      <c r="AJ34" s="12"/>
      <c r="AK34" s="18">
        <f t="shared" si="0"/>
        <v>0</v>
      </c>
    </row>
    <row r="35" spans="1:38" ht="12" customHeight="1" x14ac:dyDescent="0.15">
      <c r="A35" s="71"/>
      <c r="B35" s="13"/>
      <c r="C35" s="5"/>
      <c r="D35" s="41"/>
      <c r="E35" s="41"/>
      <c r="F35" s="31"/>
      <c r="G35" s="31"/>
      <c r="H35" s="31"/>
      <c r="I35" s="30"/>
      <c r="J35" s="3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1"/>
      <c r="W35" s="30"/>
      <c r="X35" s="30"/>
      <c r="Y35" s="30"/>
      <c r="Z35" s="30"/>
      <c r="AA35" s="30"/>
      <c r="AB35" s="30"/>
      <c r="AC35" s="30"/>
      <c r="AD35" s="30"/>
      <c r="AE35" s="51"/>
      <c r="AF35" s="12"/>
      <c r="AG35" s="12"/>
      <c r="AH35" s="12"/>
      <c r="AI35" s="12"/>
      <c r="AJ35" s="12"/>
      <c r="AK35" s="18"/>
    </row>
    <row r="36" spans="1:38" ht="12" customHeight="1" x14ac:dyDescent="0.15">
      <c r="A36" s="67" t="s">
        <v>85</v>
      </c>
      <c r="B36" s="67" t="s">
        <v>34</v>
      </c>
      <c r="C36" s="13"/>
      <c r="D36" s="5"/>
      <c r="E36" s="41"/>
      <c r="F36" s="41" t="s">
        <v>81</v>
      </c>
      <c r="G36" s="41"/>
      <c r="H36" s="31"/>
      <c r="I36" s="31"/>
      <c r="J36" s="30"/>
      <c r="K36" s="31"/>
      <c r="L36" s="31"/>
      <c r="M36" s="31"/>
      <c r="N36" s="30"/>
      <c r="O36" s="30"/>
      <c r="P36" s="30"/>
      <c r="Q36" s="30"/>
      <c r="R36" s="31"/>
      <c r="S36" s="30"/>
      <c r="T36" s="30"/>
      <c r="U36" s="30"/>
      <c r="V36" s="30"/>
      <c r="W36" s="31"/>
      <c r="X36" s="30"/>
      <c r="Y36" s="30"/>
      <c r="Z36" s="30"/>
      <c r="AA36" s="30"/>
      <c r="AB36" s="30"/>
      <c r="AC36" s="30"/>
      <c r="AD36" s="30"/>
      <c r="AE36" s="30"/>
      <c r="AF36" s="51"/>
      <c r="AG36" s="12"/>
      <c r="AH36" s="12"/>
      <c r="AI36" s="12"/>
      <c r="AJ36" s="12"/>
      <c r="AK36" s="12"/>
      <c r="AL36" s="18">
        <f>SUM(E36:AK36)</f>
        <v>0</v>
      </c>
    </row>
    <row r="37" spans="1:38" ht="12" customHeight="1" x14ac:dyDescent="0.15">
      <c r="A37" s="67" t="s">
        <v>21</v>
      </c>
      <c r="B37" s="67"/>
      <c r="C37" s="13"/>
      <c r="D37" s="5"/>
      <c r="E37" s="41">
        <v>4</v>
      </c>
      <c r="F37" s="31" t="s">
        <v>81</v>
      </c>
      <c r="G37" s="31"/>
      <c r="H37" s="31"/>
      <c r="I37" s="31"/>
      <c r="J37" s="30"/>
      <c r="K37" s="31"/>
      <c r="L37" s="31"/>
      <c r="M37" s="31"/>
      <c r="N37" s="30">
        <v>10.4</v>
      </c>
      <c r="O37" s="30"/>
      <c r="P37" s="30"/>
      <c r="Q37" s="30"/>
      <c r="R37" s="31"/>
      <c r="S37" s="30"/>
      <c r="T37" s="30"/>
      <c r="U37" s="30"/>
      <c r="V37" s="30"/>
      <c r="W37" s="31"/>
      <c r="X37" s="30"/>
      <c r="Y37" s="30"/>
      <c r="Z37" s="30"/>
      <c r="AA37" s="30"/>
      <c r="AB37" s="30"/>
      <c r="AC37" s="30"/>
      <c r="AD37" s="30"/>
      <c r="AE37" s="30"/>
      <c r="AF37" s="51"/>
      <c r="AG37" s="12"/>
      <c r="AH37" s="12"/>
      <c r="AI37" s="12"/>
      <c r="AJ37" s="12"/>
      <c r="AK37" s="72"/>
      <c r="AL37" s="18"/>
    </row>
    <row r="38" spans="1:38" ht="12" customHeight="1" x14ac:dyDescent="0.15">
      <c r="B38" s="67"/>
      <c r="C38" s="13"/>
      <c r="D38" s="5"/>
      <c r="E38" s="41"/>
      <c r="F38" s="31"/>
      <c r="G38" s="31"/>
      <c r="H38" s="31"/>
      <c r="I38" s="31"/>
      <c r="J38" s="30"/>
      <c r="K38" s="31"/>
      <c r="L38" s="31"/>
      <c r="M38" s="31"/>
      <c r="N38" s="30"/>
      <c r="O38" s="30"/>
      <c r="P38" s="30"/>
      <c r="Q38" s="30"/>
      <c r="R38" s="31"/>
      <c r="S38" s="30"/>
      <c r="T38" s="30"/>
      <c r="U38" s="30"/>
      <c r="V38" s="30"/>
      <c r="W38" s="31"/>
      <c r="X38" s="30"/>
      <c r="Y38" s="30"/>
      <c r="Z38" s="30"/>
      <c r="AA38" s="30"/>
      <c r="AB38" s="30"/>
      <c r="AC38" s="30"/>
      <c r="AD38" s="30"/>
      <c r="AE38" s="30"/>
      <c r="AF38" s="51"/>
      <c r="AG38" s="12"/>
      <c r="AH38" s="12"/>
      <c r="AI38" s="12"/>
      <c r="AJ38" s="12"/>
      <c r="AK38" s="72"/>
      <c r="AL38" s="18"/>
    </row>
    <row r="39" spans="1:38" ht="12" customHeight="1" x14ac:dyDescent="0.15">
      <c r="A39" s="67" t="s">
        <v>86</v>
      </c>
      <c r="B39" s="67"/>
      <c r="C39" s="13"/>
      <c r="D39" s="5"/>
      <c r="E39" s="41"/>
      <c r="F39" s="31" t="s">
        <v>81</v>
      </c>
      <c r="G39" s="31"/>
      <c r="H39" s="31"/>
      <c r="I39" s="31"/>
      <c r="J39" s="30"/>
      <c r="K39" s="31"/>
      <c r="L39" s="31"/>
      <c r="M39" s="31"/>
      <c r="N39" s="30"/>
      <c r="O39" s="30"/>
      <c r="P39" s="30"/>
      <c r="Q39" s="30"/>
      <c r="R39" s="31"/>
      <c r="S39" s="30"/>
      <c r="T39" s="30"/>
      <c r="U39" s="30"/>
      <c r="V39" s="30"/>
      <c r="W39" s="31"/>
      <c r="X39" s="30"/>
      <c r="Y39" s="30"/>
      <c r="Z39" s="30"/>
      <c r="AA39" s="30"/>
      <c r="AB39" s="30"/>
      <c r="AC39" s="30"/>
      <c r="AD39" s="30"/>
      <c r="AE39" s="30"/>
      <c r="AF39" s="51"/>
      <c r="AG39" s="12"/>
      <c r="AH39" s="12"/>
      <c r="AI39" s="12"/>
      <c r="AJ39" s="12"/>
      <c r="AK39" s="72"/>
      <c r="AL39" s="18"/>
    </row>
    <row r="40" spans="1:38" ht="12" customHeight="1" x14ac:dyDescent="0.15">
      <c r="A40" s="67" t="s">
        <v>21</v>
      </c>
      <c r="B40" s="67" t="s">
        <v>34</v>
      </c>
      <c r="C40" s="13"/>
      <c r="D40" s="5"/>
      <c r="E40" s="41">
        <v>2</v>
      </c>
      <c r="F40" s="31" t="s">
        <v>81</v>
      </c>
      <c r="G40" s="31"/>
      <c r="H40" s="31"/>
      <c r="I40" s="31"/>
      <c r="J40" s="30"/>
      <c r="K40" s="31"/>
      <c r="L40" s="31"/>
      <c r="M40" s="31"/>
      <c r="N40" s="30"/>
      <c r="O40" s="30"/>
      <c r="P40" s="30"/>
      <c r="Q40" s="30">
        <v>44.3</v>
      </c>
      <c r="R40" s="31"/>
      <c r="S40" s="30"/>
      <c r="T40" s="30"/>
      <c r="U40" s="30"/>
      <c r="V40" s="30"/>
      <c r="W40" s="31"/>
      <c r="X40" s="30"/>
      <c r="Y40" s="30"/>
      <c r="Z40" s="30"/>
      <c r="AA40" s="30"/>
      <c r="AB40" s="30"/>
      <c r="AC40" s="30"/>
      <c r="AD40" s="30"/>
      <c r="AE40" s="30"/>
      <c r="AF40" s="51"/>
      <c r="AG40" s="12"/>
      <c r="AH40" s="12"/>
      <c r="AI40" s="12"/>
      <c r="AJ40" s="12"/>
      <c r="AK40" s="72"/>
      <c r="AL40" s="18"/>
    </row>
    <row r="41" spans="1:38" ht="12" customHeight="1" x14ac:dyDescent="0.15">
      <c r="A41" s="67"/>
      <c r="B41" s="67"/>
      <c r="C41" s="13"/>
      <c r="D41" s="5"/>
      <c r="E41" s="41"/>
      <c r="F41" s="31"/>
      <c r="G41" s="31"/>
      <c r="H41" s="31"/>
      <c r="I41" s="31"/>
      <c r="J41" s="30"/>
      <c r="K41" s="31"/>
      <c r="L41" s="31"/>
      <c r="M41" s="31"/>
      <c r="N41" s="30"/>
      <c r="O41" s="30"/>
      <c r="P41" s="30"/>
      <c r="Q41" s="30"/>
      <c r="R41" s="31"/>
      <c r="S41" s="30"/>
      <c r="T41" s="30"/>
      <c r="U41" s="30"/>
      <c r="V41" s="30"/>
      <c r="W41" s="31"/>
      <c r="X41" s="30"/>
      <c r="Y41" s="30"/>
      <c r="Z41" s="30"/>
      <c r="AA41" s="30"/>
      <c r="AB41" s="30"/>
      <c r="AC41" s="30"/>
      <c r="AD41" s="30"/>
      <c r="AE41" s="30"/>
      <c r="AF41" s="51"/>
      <c r="AG41" s="12"/>
      <c r="AH41" s="12"/>
      <c r="AI41" s="12"/>
      <c r="AJ41" s="12"/>
      <c r="AK41" s="72"/>
      <c r="AL41" s="18"/>
    </row>
    <row r="42" spans="1:38" ht="12" customHeight="1" x14ac:dyDescent="0.15">
      <c r="A42" s="67" t="s">
        <v>87</v>
      </c>
      <c r="B42" s="67" t="s">
        <v>35</v>
      </c>
      <c r="C42" s="13"/>
      <c r="D42" s="5"/>
      <c r="E42" s="41"/>
      <c r="F42" s="31" t="s">
        <v>81</v>
      </c>
      <c r="G42" s="31"/>
      <c r="H42" s="31"/>
      <c r="I42" s="31"/>
      <c r="J42" s="30"/>
      <c r="K42" s="31"/>
      <c r="L42" s="31"/>
      <c r="M42" s="31"/>
      <c r="N42" s="30"/>
      <c r="O42" s="30"/>
      <c r="P42" s="30"/>
      <c r="Q42" s="30"/>
      <c r="R42" s="31"/>
      <c r="S42" s="30"/>
      <c r="T42" s="30"/>
      <c r="U42" s="30"/>
      <c r="V42" s="30"/>
      <c r="W42" s="31"/>
      <c r="X42" s="30"/>
      <c r="Y42" s="30"/>
      <c r="Z42" s="30"/>
      <c r="AA42" s="30"/>
      <c r="AB42" s="30"/>
      <c r="AC42" s="30"/>
      <c r="AD42" s="30"/>
      <c r="AE42" s="30"/>
      <c r="AF42" s="51"/>
      <c r="AG42" s="12"/>
      <c r="AH42" s="12"/>
      <c r="AI42" s="12"/>
      <c r="AJ42" s="12"/>
      <c r="AK42" s="72"/>
      <c r="AL42" s="18"/>
    </row>
    <row r="43" spans="1:38" ht="12" customHeight="1" x14ac:dyDescent="0.15">
      <c r="A43" s="67" t="s">
        <v>21</v>
      </c>
      <c r="B43" s="67"/>
      <c r="C43" s="13"/>
      <c r="D43" s="5"/>
      <c r="E43" s="41">
        <v>8</v>
      </c>
      <c r="F43" s="31" t="s">
        <v>81</v>
      </c>
      <c r="G43" s="31"/>
      <c r="H43" s="31"/>
      <c r="I43" s="31"/>
      <c r="J43" s="30"/>
      <c r="K43" s="31"/>
      <c r="L43" s="31"/>
      <c r="M43" s="31">
        <v>17.8</v>
      </c>
      <c r="N43" s="30"/>
      <c r="O43" s="30"/>
      <c r="P43" s="30"/>
      <c r="Q43" s="30"/>
      <c r="R43" s="31"/>
      <c r="S43" s="30"/>
      <c r="T43" s="30"/>
      <c r="U43" s="30"/>
      <c r="V43" s="30"/>
      <c r="W43" s="31"/>
      <c r="X43" s="30"/>
      <c r="Y43" s="30"/>
      <c r="Z43" s="30"/>
      <c r="AA43" s="30"/>
      <c r="AB43" s="30"/>
      <c r="AC43" s="30"/>
      <c r="AD43" s="30"/>
      <c r="AE43" s="30"/>
      <c r="AF43" s="51"/>
      <c r="AG43" s="12"/>
      <c r="AH43" s="12"/>
      <c r="AI43" s="12"/>
      <c r="AJ43" s="12"/>
      <c r="AK43" s="72"/>
      <c r="AL43" s="18"/>
    </row>
    <row r="44" spans="1:38" ht="12" customHeight="1" x14ac:dyDescent="0.15">
      <c r="A44" s="67"/>
      <c r="B44" s="13"/>
      <c r="C44" s="5"/>
      <c r="D44" s="41"/>
      <c r="E44" s="41"/>
      <c r="F44" s="31"/>
      <c r="G44" s="31"/>
      <c r="H44" s="31"/>
      <c r="I44" s="30"/>
      <c r="J44" s="31"/>
      <c r="K44" s="31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1"/>
      <c r="W44" s="30"/>
      <c r="X44" s="30"/>
      <c r="Y44" s="30"/>
      <c r="Z44" s="30"/>
      <c r="AA44" s="30"/>
      <c r="AB44" s="30"/>
      <c r="AC44" s="30"/>
      <c r="AD44" s="30"/>
      <c r="AE44" s="51"/>
      <c r="AF44" s="12"/>
      <c r="AG44" s="12"/>
      <c r="AH44" s="12"/>
      <c r="AI44" s="12"/>
      <c r="AJ44" s="12"/>
      <c r="AK44" s="18">
        <f t="shared" ref="AK44" si="2">SUM(D44:AJ44)</f>
        <v>0</v>
      </c>
    </row>
    <row r="45" spans="1:38" ht="9" customHeight="1" x14ac:dyDescent="0.15">
      <c r="A45" s="67"/>
      <c r="B45" s="13"/>
      <c r="C45" s="5"/>
      <c r="D45" s="41"/>
      <c r="E45" s="41"/>
      <c r="F45" s="31"/>
      <c r="G45" s="31"/>
      <c r="H45" s="31"/>
      <c r="I45" s="30"/>
      <c r="J45" s="31"/>
      <c r="K45" s="31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1"/>
      <c r="W45" s="30"/>
      <c r="X45" s="30"/>
      <c r="Y45" s="30"/>
      <c r="Z45" s="30"/>
      <c r="AA45" s="30"/>
      <c r="AB45" s="30"/>
      <c r="AC45" s="30"/>
      <c r="AD45" s="30"/>
      <c r="AE45" s="51"/>
      <c r="AF45" s="12"/>
      <c r="AG45" s="12"/>
      <c r="AH45" s="12"/>
      <c r="AI45" s="12"/>
      <c r="AJ45" s="12"/>
      <c r="AK45" s="18"/>
    </row>
    <row r="46" spans="1:38" ht="12" customHeight="1" x14ac:dyDescent="0.15">
      <c r="A46" s="67"/>
      <c r="B46" s="13"/>
      <c r="C46" s="5"/>
      <c r="D46" s="41"/>
      <c r="E46" s="41"/>
      <c r="F46" s="31"/>
      <c r="G46" s="31"/>
      <c r="H46" s="31"/>
      <c r="I46" s="30"/>
      <c r="J46" s="31"/>
      <c r="K46" s="31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1"/>
      <c r="W46" s="30"/>
      <c r="X46" s="30"/>
      <c r="Y46" s="30"/>
      <c r="Z46" s="30"/>
      <c r="AA46" s="30"/>
      <c r="AB46" s="30"/>
      <c r="AC46" s="30"/>
      <c r="AD46" s="30"/>
      <c r="AE46" s="51"/>
      <c r="AF46" s="12"/>
      <c r="AG46" s="12"/>
      <c r="AH46" s="12"/>
      <c r="AI46" s="12"/>
      <c r="AJ46" s="12"/>
      <c r="AK46" s="18"/>
    </row>
    <row r="47" spans="1:38" ht="12" customHeight="1" x14ac:dyDescent="0.15">
      <c r="A47" s="67"/>
      <c r="B47" s="13"/>
      <c r="C47" s="5"/>
      <c r="D47" s="41"/>
      <c r="E47" s="41"/>
      <c r="F47" s="31"/>
      <c r="G47" s="31"/>
      <c r="H47" s="31"/>
      <c r="I47" s="30"/>
      <c r="J47" s="31"/>
      <c r="K47" s="31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1"/>
      <c r="W47" s="30"/>
      <c r="X47" s="30"/>
      <c r="Y47" s="30"/>
      <c r="Z47" s="30"/>
      <c r="AA47" s="30"/>
      <c r="AB47" s="30"/>
      <c r="AC47" s="30"/>
      <c r="AD47" s="30"/>
      <c r="AE47" s="51"/>
      <c r="AF47" s="12"/>
      <c r="AG47" s="12"/>
      <c r="AH47" s="12"/>
      <c r="AI47" s="12"/>
      <c r="AJ47" s="12"/>
      <c r="AK47" s="18"/>
    </row>
    <row r="49" spans="1:37" ht="12" customHeight="1" x14ac:dyDescent="0.15">
      <c r="A49" s="67" t="s">
        <v>87</v>
      </c>
      <c r="B49" s="4" t="s">
        <v>44</v>
      </c>
    </row>
    <row r="50" spans="1:37" ht="12" customHeight="1" x14ac:dyDescent="0.15">
      <c r="A50" s="67"/>
      <c r="B50" s="13"/>
      <c r="C50" s="5"/>
      <c r="D50" s="41"/>
      <c r="E50" s="41"/>
      <c r="F50" s="31"/>
      <c r="G50" s="31"/>
      <c r="H50" s="31"/>
      <c r="I50" s="30"/>
      <c r="J50" s="31"/>
      <c r="K50" s="31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1"/>
      <c r="W50" s="30"/>
      <c r="X50" s="30"/>
      <c r="Y50" s="30"/>
      <c r="Z50" s="30"/>
      <c r="AA50" s="30"/>
      <c r="AB50" s="30"/>
      <c r="AC50" s="30"/>
      <c r="AD50" s="30"/>
      <c r="AE50" s="51"/>
      <c r="AF50" s="12"/>
      <c r="AG50" s="12"/>
      <c r="AH50" s="12"/>
      <c r="AI50" s="12"/>
      <c r="AJ50" s="12"/>
      <c r="AK50" s="18">
        <f t="shared" ref="AK50:AK61" si="3">SUM(D50:AJ50)</f>
        <v>0</v>
      </c>
    </row>
    <row r="51" spans="1:37" ht="12" customHeight="1" x14ac:dyDescent="0.15">
      <c r="A51" s="67">
        <v>5300</v>
      </c>
      <c r="B51" s="13" t="s">
        <v>36</v>
      </c>
      <c r="C51" s="5" t="s">
        <v>37</v>
      </c>
      <c r="D51" s="41"/>
      <c r="E51" s="41"/>
      <c r="F51" s="31" t="s">
        <v>81</v>
      </c>
      <c r="G51" s="31"/>
      <c r="H51" s="31"/>
      <c r="I51" s="30"/>
      <c r="J51" s="31"/>
      <c r="K51" s="31"/>
      <c r="L51" s="30"/>
      <c r="M51" s="30"/>
      <c r="N51" s="30"/>
      <c r="O51" s="30"/>
      <c r="P51" s="30"/>
      <c r="Q51" s="31"/>
      <c r="R51" s="30"/>
      <c r="S51" s="30"/>
      <c r="T51" s="30"/>
      <c r="U51" s="30"/>
      <c r="V51" s="31"/>
      <c r="W51" s="30"/>
      <c r="X51" s="30"/>
      <c r="Y51" s="30"/>
      <c r="Z51" s="30"/>
      <c r="AA51" s="30"/>
      <c r="AB51" s="30"/>
      <c r="AC51" s="30"/>
      <c r="AD51" s="30"/>
      <c r="AE51" s="51"/>
      <c r="AF51" s="12"/>
      <c r="AG51" s="12"/>
      <c r="AH51" s="12"/>
      <c r="AI51" s="12"/>
      <c r="AJ51" s="12"/>
      <c r="AK51" s="18">
        <f t="shared" si="3"/>
        <v>0</v>
      </c>
    </row>
    <row r="52" spans="1:37" ht="12" customHeight="1" x14ac:dyDescent="0.15">
      <c r="A52" s="67" t="s">
        <v>21</v>
      </c>
      <c r="B52" s="13" t="s">
        <v>49</v>
      </c>
      <c r="C52" s="5"/>
      <c r="D52" s="41"/>
      <c r="E52" s="41">
        <v>20</v>
      </c>
      <c r="F52" s="31" t="s">
        <v>81</v>
      </c>
      <c r="G52" s="31"/>
      <c r="H52" s="31"/>
      <c r="I52" s="30"/>
      <c r="J52" s="31"/>
      <c r="K52" s="31"/>
      <c r="L52" s="30"/>
      <c r="M52" s="30"/>
      <c r="N52" s="30"/>
      <c r="O52" s="30"/>
      <c r="P52" s="30"/>
      <c r="Q52" s="31"/>
      <c r="R52" s="30"/>
      <c r="S52" s="30"/>
      <c r="T52" s="30"/>
      <c r="U52" s="30"/>
      <c r="V52" s="31"/>
      <c r="W52" s="30"/>
      <c r="X52" s="30"/>
      <c r="Y52" s="30"/>
      <c r="Z52" s="30"/>
      <c r="AA52" s="30"/>
      <c r="AB52" s="30"/>
      <c r="AC52" s="30"/>
      <c r="AD52" s="30"/>
      <c r="AE52" s="51"/>
      <c r="AF52" s="12"/>
      <c r="AG52" s="12"/>
      <c r="AH52" s="30">
        <v>4</v>
      </c>
      <c r="AI52" s="30"/>
      <c r="AJ52" s="30"/>
      <c r="AK52" s="18">
        <f t="shared" si="3"/>
        <v>24</v>
      </c>
    </row>
    <row r="53" spans="1:37" ht="12" customHeight="1" x14ac:dyDescent="0.15">
      <c r="A53" s="67" t="s">
        <v>22</v>
      </c>
      <c r="B53" s="13" t="s">
        <v>50</v>
      </c>
      <c r="C53" s="5"/>
      <c r="D53" s="41"/>
      <c r="E53" s="41">
        <v>20</v>
      </c>
      <c r="F53" s="31" t="s">
        <v>81</v>
      </c>
      <c r="G53" s="31"/>
      <c r="H53" s="31"/>
      <c r="I53" s="30"/>
      <c r="J53" s="31"/>
      <c r="K53" s="31"/>
      <c r="L53" s="30"/>
      <c r="M53" s="30"/>
      <c r="N53" s="30"/>
      <c r="O53" s="30"/>
      <c r="P53" s="30"/>
      <c r="Q53" s="31"/>
      <c r="R53" s="30"/>
      <c r="S53" s="30"/>
      <c r="T53" s="30"/>
      <c r="U53" s="30"/>
      <c r="V53" s="31"/>
      <c r="W53" s="30"/>
      <c r="X53" s="30"/>
      <c r="Y53" s="30"/>
      <c r="Z53" s="30"/>
      <c r="AA53" s="30"/>
      <c r="AB53" s="30"/>
      <c r="AC53" s="30"/>
      <c r="AD53" s="30"/>
      <c r="AE53" s="51"/>
      <c r="AF53" s="30"/>
      <c r="AG53" s="30">
        <v>0.3</v>
      </c>
      <c r="AH53" s="12"/>
      <c r="AI53" s="12"/>
      <c r="AJ53" s="12"/>
      <c r="AK53" s="18">
        <f t="shared" si="3"/>
        <v>20.3</v>
      </c>
    </row>
    <row r="54" spans="1:37" ht="12" customHeight="1" x14ac:dyDescent="0.15">
      <c r="A54" s="67" t="s">
        <v>23</v>
      </c>
      <c r="B54" s="13" t="s">
        <v>48</v>
      </c>
      <c r="C54" s="5"/>
      <c r="D54" s="41"/>
      <c r="E54" s="41">
        <v>20</v>
      </c>
      <c r="F54" s="31" t="s">
        <v>81</v>
      </c>
      <c r="G54" s="31"/>
      <c r="H54" s="31"/>
      <c r="I54" s="30"/>
      <c r="J54" s="31"/>
      <c r="K54" s="31"/>
      <c r="L54" s="30"/>
      <c r="M54" s="30"/>
      <c r="N54" s="30"/>
      <c r="O54" s="30"/>
      <c r="P54" s="30"/>
      <c r="Q54" s="31"/>
      <c r="R54" s="30"/>
      <c r="S54" s="30"/>
      <c r="T54" s="30">
        <v>1.1000000000000001</v>
      </c>
      <c r="U54" s="30"/>
      <c r="V54" s="31"/>
      <c r="W54" s="30"/>
      <c r="X54" s="30"/>
      <c r="Y54" s="30"/>
      <c r="Z54" s="30"/>
      <c r="AA54" s="30"/>
      <c r="AB54" s="30"/>
      <c r="AC54" s="30"/>
      <c r="AD54" s="30"/>
      <c r="AE54" s="51"/>
      <c r="AF54" s="12"/>
      <c r="AG54" s="12"/>
      <c r="AH54" s="12"/>
      <c r="AI54" s="12"/>
      <c r="AJ54" s="12"/>
      <c r="AK54" s="18">
        <f t="shared" si="3"/>
        <v>21.1</v>
      </c>
    </row>
    <row r="55" spans="1:37" ht="12" customHeight="1" x14ac:dyDescent="0.15">
      <c r="A55" s="67" t="s">
        <v>24</v>
      </c>
      <c r="B55" s="13" t="s">
        <v>51</v>
      </c>
      <c r="C55" s="5"/>
      <c r="D55" s="41"/>
      <c r="E55" s="41">
        <v>20</v>
      </c>
      <c r="F55" s="31" t="s">
        <v>81</v>
      </c>
      <c r="G55" s="31"/>
      <c r="H55" s="31"/>
      <c r="I55" s="30"/>
      <c r="J55" s="31"/>
      <c r="K55" s="31"/>
      <c r="L55" s="30"/>
      <c r="M55" s="30"/>
      <c r="N55" s="30"/>
      <c r="O55" s="30"/>
      <c r="P55" s="30"/>
      <c r="Q55" s="31"/>
      <c r="R55" s="30"/>
      <c r="S55" s="30">
        <v>0.2</v>
      </c>
      <c r="T55" s="30"/>
      <c r="U55" s="30"/>
      <c r="V55" s="31"/>
      <c r="W55" s="30"/>
      <c r="X55" s="30"/>
      <c r="Y55" s="30"/>
      <c r="Z55" s="30"/>
      <c r="AA55" s="30"/>
      <c r="AB55" s="30"/>
      <c r="AC55" s="30"/>
      <c r="AD55" s="30"/>
      <c r="AE55" s="51"/>
      <c r="AF55" s="12"/>
      <c r="AG55" s="12"/>
      <c r="AH55" s="12"/>
      <c r="AI55" s="12"/>
      <c r="AJ55" s="12"/>
      <c r="AK55" s="18">
        <f t="shared" si="3"/>
        <v>20.2</v>
      </c>
    </row>
    <row r="56" spans="1:37" ht="12" customHeight="1" x14ac:dyDescent="0.15">
      <c r="A56" s="67" t="s">
        <v>21</v>
      </c>
      <c r="B56" s="13" t="s">
        <v>52</v>
      </c>
      <c r="C56" s="5"/>
      <c r="D56" s="41"/>
      <c r="E56" s="41">
        <v>8</v>
      </c>
      <c r="F56" s="31" t="s">
        <v>81</v>
      </c>
      <c r="G56" s="31"/>
      <c r="H56" s="31"/>
      <c r="I56" s="30"/>
      <c r="J56" s="31"/>
      <c r="K56" s="31"/>
      <c r="L56" s="30"/>
      <c r="M56" s="30"/>
      <c r="N56" s="30"/>
      <c r="O56" s="30"/>
      <c r="P56" s="30"/>
      <c r="Q56" s="31"/>
      <c r="R56" s="30"/>
      <c r="S56" s="30"/>
      <c r="T56" s="30"/>
      <c r="U56" s="30"/>
      <c r="V56" s="31"/>
      <c r="W56" s="30"/>
      <c r="X56" s="30"/>
      <c r="Y56" s="30"/>
      <c r="Z56" s="30"/>
      <c r="AA56" s="30"/>
      <c r="AB56" s="30"/>
      <c r="AC56" s="30"/>
      <c r="AD56" s="30"/>
      <c r="AE56" s="51"/>
      <c r="AF56" s="30"/>
      <c r="AG56" s="30">
        <v>0.3</v>
      </c>
      <c r="AH56" s="12"/>
      <c r="AI56" s="12"/>
      <c r="AJ56" s="12"/>
      <c r="AK56" s="18">
        <f t="shared" si="3"/>
        <v>8.3000000000000007</v>
      </c>
    </row>
    <row r="57" spans="1:37" ht="12" customHeight="1" x14ac:dyDescent="0.15">
      <c r="A57" s="67" t="s">
        <v>22</v>
      </c>
      <c r="B57" s="13" t="s">
        <v>53</v>
      </c>
      <c r="C57" s="5"/>
      <c r="D57" s="41"/>
      <c r="E57" s="41">
        <v>8</v>
      </c>
      <c r="F57" s="31" t="s">
        <v>81</v>
      </c>
      <c r="G57" s="31"/>
      <c r="H57" s="31"/>
      <c r="I57" s="30"/>
      <c r="J57" s="31"/>
      <c r="K57" s="31"/>
      <c r="L57" s="30"/>
      <c r="M57" s="30"/>
      <c r="N57" s="30"/>
      <c r="O57" s="30"/>
      <c r="P57" s="30"/>
      <c r="Q57" s="31"/>
      <c r="R57" s="30"/>
      <c r="S57" s="30"/>
      <c r="T57" s="30"/>
      <c r="U57" s="30"/>
      <c r="V57" s="31"/>
      <c r="W57" s="30"/>
      <c r="X57" s="30"/>
      <c r="Y57" s="30"/>
      <c r="Z57" s="30"/>
      <c r="AA57" s="30"/>
      <c r="AB57" s="30"/>
      <c r="AC57" s="30"/>
      <c r="AD57" s="30"/>
      <c r="AE57" s="51"/>
      <c r="AF57" s="12"/>
      <c r="AG57" s="12"/>
      <c r="AH57" s="30">
        <v>3.2</v>
      </c>
      <c r="AI57" s="30"/>
      <c r="AJ57" s="30"/>
      <c r="AK57" s="18">
        <f t="shared" si="3"/>
        <v>11.2</v>
      </c>
    </row>
    <row r="58" spans="1:37" ht="12" customHeight="1" x14ac:dyDescent="0.15">
      <c r="A58" s="67" t="s">
        <v>23</v>
      </c>
      <c r="B58" s="13" t="s">
        <v>54</v>
      </c>
      <c r="C58" s="5"/>
      <c r="D58" s="41"/>
      <c r="E58" s="41">
        <v>8</v>
      </c>
      <c r="F58" s="31" t="s">
        <v>81</v>
      </c>
      <c r="G58" s="31"/>
      <c r="H58" s="31"/>
      <c r="I58" s="30"/>
      <c r="J58" s="31"/>
      <c r="K58" s="31"/>
      <c r="L58" s="30"/>
      <c r="M58" s="30"/>
      <c r="N58" s="30"/>
      <c r="O58" s="30"/>
      <c r="P58" s="30"/>
      <c r="Q58" s="31"/>
      <c r="R58" s="30">
        <v>0.4</v>
      </c>
      <c r="S58" s="30"/>
      <c r="T58" s="30"/>
      <c r="U58" s="30"/>
      <c r="V58" s="31"/>
      <c r="W58" s="30"/>
      <c r="X58" s="30"/>
      <c r="Y58" s="30"/>
      <c r="Z58" s="30"/>
      <c r="AA58" s="30"/>
      <c r="AB58" s="30"/>
      <c r="AC58" s="30"/>
      <c r="AD58" s="30"/>
      <c r="AE58" s="51"/>
      <c r="AF58" s="12"/>
      <c r="AG58" s="12"/>
      <c r="AH58" s="12"/>
      <c r="AI58" s="12"/>
      <c r="AJ58" s="12"/>
      <c r="AK58" s="18">
        <f t="shared" si="3"/>
        <v>8.4</v>
      </c>
    </row>
    <row r="59" spans="1:37" ht="12" customHeight="1" x14ac:dyDescent="0.15">
      <c r="A59" s="67" t="s">
        <v>21</v>
      </c>
      <c r="B59" s="13" t="s">
        <v>55</v>
      </c>
      <c r="C59" s="5"/>
      <c r="D59" s="41"/>
      <c r="E59" s="41">
        <v>18</v>
      </c>
      <c r="F59" s="31" t="s">
        <v>81</v>
      </c>
      <c r="G59" s="31"/>
      <c r="H59" s="31"/>
      <c r="I59" s="30"/>
      <c r="J59" s="31"/>
      <c r="K59" s="31"/>
      <c r="L59" s="30"/>
      <c r="M59" s="30"/>
      <c r="N59" s="30"/>
      <c r="O59" s="30"/>
      <c r="P59" s="30"/>
      <c r="Q59" s="31"/>
      <c r="R59" s="30"/>
      <c r="S59" s="30"/>
      <c r="T59" s="30"/>
      <c r="U59" s="30"/>
      <c r="V59" s="31"/>
      <c r="W59" s="30"/>
      <c r="X59" s="30"/>
      <c r="Y59" s="30"/>
      <c r="Z59" s="30"/>
      <c r="AA59" s="30"/>
      <c r="AB59" s="30"/>
      <c r="AC59" s="30"/>
      <c r="AD59" s="30"/>
      <c r="AE59" s="51"/>
      <c r="AF59" s="12"/>
      <c r="AG59" s="12"/>
      <c r="AH59" s="12"/>
      <c r="AI59" s="12"/>
      <c r="AJ59" s="30">
        <v>0.6</v>
      </c>
      <c r="AK59" s="18">
        <f t="shared" si="3"/>
        <v>18.600000000000001</v>
      </c>
    </row>
    <row r="60" spans="1:37" ht="12" customHeight="1" x14ac:dyDescent="0.15">
      <c r="A60" s="67" t="s">
        <v>22</v>
      </c>
      <c r="B60" s="13" t="s">
        <v>56</v>
      </c>
      <c r="C60" s="5"/>
      <c r="D60" s="41"/>
      <c r="E60" s="41">
        <v>18</v>
      </c>
      <c r="F60" s="31" t="s">
        <v>81</v>
      </c>
      <c r="G60" s="31"/>
      <c r="H60" s="31"/>
      <c r="I60" s="30"/>
      <c r="J60" s="31"/>
      <c r="K60" s="31"/>
      <c r="L60" s="30"/>
      <c r="M60" s="30"/>
      <c r="N60" s="30"/>
      <c r="O60" s="30"/>
      <c r="P60" s="30"/>
      <c r="Q60" s="31"/>
      <c r="R60" s="30"/>
      <c r="S60" s="30"/>
      <c r="T60" s="30"/>
      <c r="U60" s="30"/>
      <c r="V60" s="31"/>
      <c r="W60" s="30"/>
      <c r="X60" s="30"/>
      <c r="Y60" s="30"/>
      <c r="Z60" s="30"/>
      <c r="AA60" s="30"/>
      <c r="AB60" s="30"/>
      <c r="AC60" s="30"/>
      <c r="AD60" s="30"/>
      <c r="AE60" s="51"/>
      <c r="AF60" s="30">
        <v>0</v>
      </c>
      <c r="AG60" s="12"/>
      <c r="AH60" s="12"/>
      <c r="AI60" s="12"/>
      <c r="AJ60" s="12"/>
      <c r="AK60" s="18">
        <f t="shared" si="3"/>
        <v>18</v>
      </c>
    </row>
    <row r="61" spans="1:37" ht="12" customHeight="1" x14ac:dyDescent="0.15">
      <c r="A61" s="67" t="s">
        <v>89</v>
      </c>
      <c r="B61" s="13"/>
      <c r="C61" s="5"/>
      <c r="D61" s="41"/>
      <c r="E61" s="41"/>
      <c r="F61" s="31"/>
      <c r="G61" s="31"/>
      <c r="H61" s="31"/>
      <c r="I61" s="30"/>
      <c r="J61" s="31"/>
      <c r="K61" s="31"/>
      <c r="L61" s="30"/>
      <c r="M61" s="30"/>
      <c r="N61" s="30"/>
      <c r="O61" s="30"/>
      <c r="P61" s="30"/>
      <c r="Q61" s="31"/>
      <c r="R61" s="30"/>
      <c r="S61" s="30"/>
      <c r="T61" s="30"/>
      <c r="U61" s="30"/>
      <c r="V61" s="31"/>
      <c r="W61" s="30"/>
      <c r="X61" s="30"/>
      <c r="Y61" s="30"/>
      <c r="Z61" s="30"/>
      <c r="AA61" s="30"/>
      <c r="AB61" s="30"/>
      <c r="AC61" s="30"/>
      <c r="AD61" s="30"/>
      <c r="AE61" s="51"/>
      <c r="AF61" s="12"/>
      <c r="AG61" s="12"/>
      <c r="AH61" s="12"/>
      <c r="AI61" s="12"/>
      <c r="AJ61" s="12"/>
      <c r="AK61" s="18">
        <f t="shared" si="3"/>
        <v>0</v>
      </c>
    </row>
    <row r="62" spans="1:37" ht="12" customHeight="1" x14ac:dyDescent="0.15">
      <c r="A62" s="67" t="s">
        <v>21</v>
      </c>
      <c r="B62" s="13" t="s">
        <v>92</v>
      </c>
      <c r="C62" s="5"/>
      <c r="D62" s="41"/>
      <c r="E62" s="41">
        <v>48</v>
      </c>
      <c r="F62" s="31"/>
      <c r="G62" s="31"/>
      <c r="H62" s="31"/>
      <c r="I62" s="30"/>
      <c r="J62" s="31"/>
      <c r="K62" s="31"/>
      <c r="L62" s="30"/>
      <c r="M62" s="30"/>
      <c r="N62" s="30"/>
      <c r="O62" s="30"/>
      <c r="P62" s="30"/>
      <c r="Q62" s="31"/>
      <c r="R62" s="30"/>
      <c r="S62" s="30"/>
      <c r="T62" s="30"/>
      <c r="U62" s="30"/>
      <c r="V62" s="31"/>
      <c r="W62" s="30"/>
      <c r="X62" s="30"/>
      <c r="Y62" s="30"/>
      <c r="Z62" s="30"/>
      <c r="AA62" s="30">
        <v>51.3</v>
      </c>
      <c r="AB62" s="30"/>
      <c r="AC62" s="30"/>
      <c r="AD62" s="30"/>
      <c r="AE62" s="51"/>
      <c r="AF62" s="12"/>
      <c r="AG62" s="12"/>
      <c r="AH62" s="12"/>
      <c r="AI62" s="12"/>
      <c r="AJ62" s="12"/>
      <c r="AK62" s="18"/>
    </row>
    <row r="63" spans="1:37" ht="12" customHeight="1" x14ac:dyDescent="0.15">
      <c r="A63" s="67" t="s">
        <v>22</v>
      </c>
      <c r="B63" s="13" t="s">
        <v>76</v>
      </c>
      <c r="C63" s="5"/>
      <c r="D63" s="41"/>
      <c r="E63" s="41">
        <v>24</v>
      </c>
      <c r="F63" s="31"/>
      <c r="G63" s="31"/>
      <c r="H63" s="31"/>
      <c r="I63" s="30"/>
      <c r="J63" s="31"/>
      <c r="K63" s="31"/>
      <c r="L63" s="30"/>
      <c r="M63" s="30"/>
      <c r="N63" s="30"/>
      <c r="O63" s="30"/>
      <c r="P63" s="30">
        <v>25.2</v>
      </c>
      <c r="Q63" s="31"/>
      <c r="R63" s="30"/>
      <c r="S63" s="30"/>
      <c r="T63" s="30"/>
      <c r="U63" s="30"/>
      <c r="V63" s="31"/>
      <c r="W63" s="30"/>
      <c r="X63" s="30"/>
      <c r="Y63" s="30"/>
      <c r="Z63" s="30"/>
      <c r="AA63" s="30"/>
      <c r="AB63" s="30"/>
      <c r="AC63" s="30"/>
      <c r="AD63" s="30"/>
      <c r="AE63" s="51"/>
      <c r="AF63" s="12"/>
      <c r="AG63" s="12"/>
      <c r="AH63" s="12"/>
      <c r="AI63" s="12"/>
      <c r="AJ63" s="12"/>
      <c r="AK63" s="18"/>
    </row>
    <row r="64" spans="1:37" ht="12" customHeight="1" x14ac:dyDescent="0.15">
      <c r="A64" s="67" t="s">
        <v>23</v>
      </c>
      <c r="B64" s="13" t="s">
        <v>93</v>
      </c>
      <c r="C64" s="5"/>
      <c r="D64" s="41"/>
      <c r="E64" s="41">
        <v>24</v>
      </c>
      <c r="F64" s="31"/>
      <c r="G64" s="31"/>
      <c r="H64" s="31"/>
      <c r="I64" s="30"/>
      <c r="J64" s="31"/>
      <c r="K64" s="31"/>
      <c r="L64" s="30"/>
      <c r="M64" s="30"/>
      <c r="N64" s="30"/>
      <c r="O64" s="30">
        <v>22.1</v>
      </c>
      <c r="P64" s="30"/>
      <c r="Q64" s="31"/>
      <c r="R64" s="30"/>
      <c r="S64" s="30"/>
      <c r="T64" s="30"/>
      <c r="U64" s="30"/>
      <c r="V64" s="31"/>
      <c r="W64" s="30"/>
      <c r="X64" s="30"/>
      <c r="Y64" s="30"/>
      <c r="Z64" s="30"/>
      <c r="AA64" s="30"/>
      <c r="AB64" s="30"/>
      <c r="AC64" s="30"/>
      <c r="AD64" s="30"/>
      <c r="AE64" s="51"/>
      <c r="AF64" s="12"/>
      <c r="AG64" s="12"/>
      <c r="AH64" s="12"/>
      <c r="AI64" s="12"/>
      <c r="AJ64" s="12"/>
      <c r="AK64" s="18"/>
    </row>
    <row r="65" spans="1:37" ht="12" customHeight="1" x14ac:dyDescent="0.15">
      <c r="A65" s="67" t="s">
        <v>24</v>
      </c>
      <c r="B65" s="13" t="s">
        <v>94</v>
      </c>
      <c r="C65" s="5"/>
      <c r="D65" s="41"/>
      <c r="E65" s="41">
        <v>24</v>
      </c>
      <c r="F65" s="31"/>
      <c r="G65" s="31"/>
      <c r="H65" s="31"/>
      <c r="I65" s="30"/>
      <c r="J65" s="31"/>
      <c r="K65" s="31"/>
      <c r="L65" s="30"/>
      <c r="M65" s="30"/>
      <c r="N65" s="30">
        <v>18.899999999999999</v>
      </c>
      <c r="O65" s="30"/>
      <c r="P65" s="30"/>
      <c r="Q65" s="31"/>
      <c r="R65" s="30"/>
      <c r="S65" s="30"/>
      <c r="T65" s="30"/>
      <c r="U65" s="30"/>
      <c r="V65" s="31"/>
      <c r="W65" s="30"/>
      <c r="X65" s="30"/>
      <c r="Y65" s="30"/>
      <c r="Z65" s="30"/>
      <c r="AA65" s="30"/>
      <c r="AB65" s="30"/>
      <c r="AC65" s="30"/>
      <c r="AD65" s="30"/>
      <c r="AE65" s="51"/>
      <c r="AF65" s="12"/>
      <c r="AG65" s="12"/>
      <c r="AH65" s="12"/>
      <c r="AI65" s="12"/>
      <c r="AJ65" s="12"/>
      <c r="AK65" s="18"/>
    </row>
    <row r="66" spans="1:37" ht="12" customHeight="1" x14ac:dyDescent="0.15">
      <c r="A66" s="67" t="s">
        <v>90</v>
      </c>
      <c r="B66" s="13" t="s">
        <v>95</v>
      </c>
      <c r="C66" s="5"/>
      <c r="D66" s="41"/>
      <c r="E66" s="41">
        <v>96</v>
      </c>
      <c r="F66" s="31"/>
      <c r="G66" s="31"/>
      <c r="H66" s="31"/>
      <c r="I66" s="30"/>
      <c r="J66" s="31"/>
      <c r="K66" s="31">
        <v>1</v>
      </c>
      <c r="L66" s="30"/>
      <c r="M66" s="30"/>
      <c r="N66" s="30"/>
      <c r="O66" s="30"/>
      <c r="P66" s="30"/>
      <c r="Q66" s="31"/>
      <c r="R66" s="30"/>
      <c r="S66" s="30"/>
      <c r="T66" s="30"/>
      <c r="U66" s="30"/>
      <c r="V66" s="31"/>
      <c r="W66" s="30"/>
      <c r="X66" s="30"/>
      <c r="Y66" s="30"/>
      <c r="Z66" s="30"/>
      <c r="AA66" s="30"/>
      <c r="AB66" s="30"/>
      <c r="AC66" s="30"/>
      <c r="AD66" s="30"/>
      <c r="AE66" s="51"/>
      <c r="AF66" s="12"/>
      <c r="AG66" s="12"/>
      <c r="AH66" s="12"/>
      <c r="AI66" s="12"/>
      <c r="AJ66" s="12"/>
      <c r="AK66" s="18"/>
    </row>
    <row r="67" spans="1:37" ht="12" customHeight="1" x14ac:dyDescent="0.15">
      <c r="A67" s="67" t="s">
        <v>91</v>
      </c>
      <c r="B67" s="13" t="s">
        <v>95</v>
      </c>
      <c r="C67" s="5"/>
      <c r="D67" s="41"/>
      <c r="E67" s="41">
        <v>96</v>
      </c>
      <c r="F67" s="31"/>
      <c r="G67" s="31"/>
      <c r="H67" s="31"/>
      <c r="I67" s="30"/>
      <c r="J67" s="31"/>
      <c r="K67" s="31">
        <v>0.7</v>
      </c>
      <c r="L67" s="30"/>
      <c r="M67" s="30"/>
      <c r="N67" s="30"/>
      <c r="O67" s="30"/>
      <c r="P67" s="30"/>
      <c r="Q67" s="31"/>
      <c r="R67" s="30"/>
      <c r="S67" s="30"/>
      <c r="T67" s="30"/>
      <c r="U67" s="30"/>
      <c r="V67" s="31"/>
      <c r="W67" s="30"/>
      <c r="X67" s="30"/>
      <c r="Y67" s="30"/>
      <c r="Z67" s="30"/>
      <c r="AA67" s="30"/>
      <c r="AB67" s="30"/>
      <c r="AC67" s="30"/>
      <c r="AD67" s="30"/>
      <c r="AE67" s="51"/>
      <c r="AF67" s="12"/>
      <c r="AG67" s="12"/>
      <c r="AH67" s="12"/>
      <c r="AI67" s="12"/>
      <c r="AJ67" s="12"/>
      <c r="AK67" s="18">
        <f t="shared" ref="AK67:AK79" si="4">SUM(D67:AJ67)</f>
        <v>96.7</v>
      </c>
    </row>
    <row r="68" spans="1:37" ht="12" customHeight="1" x14ac:dyDescent="0.15">
      <c r="A68" s="67"/>
      <c r="B68" s="13"/>
      <c r="C68" s="5"/>
      <c r="D68" s="41"/>
      <c r="E68" s="41"/>
      <c r="F68" s="31"/>
      <c r="G68" s="31"/>
      <c r="H68" s="31"/>
      <c r="I68" s="30"/>
      <c r="J68" s="31"/>
      <c r="K68" s="31"/>
      <c r="L68" s="30"/>
      <c r="M68" s="30"/>
      <c r="N68" s="30"/>
      <c r="O68" s="30"/>
      <c r="P68" s="30"/>
      <c r="Q68" s="31"/>
      <c r="R68" s="30"/>
      <c r="S68" s="30"/>
      <c r="T68" s="30"/>
      <c r="U68" s="30"/>
      <c r="V68" s="31"/>
      <c r="W68" s="30"/>
      <c r="X68" s="30"/>
      <c r="Y68" s="30"/>
      <c r="Z68" s="30"/>
      <c r="AA68" s="30"/>
      <c r="AB68" s="30"/>
      <c r="AC68" s="30"/>
      <c r="AD68" s="30"/>
      <c r="AE68" s="51"/>
      <c r="AF68" s="12"/>
      <c r="AG68" s="12"/>
      <c r="AH68" s="12"/>
      <c r="AI68" s="12"/>
      <c r="AJ68" s="12"/>
      <c r="AK68" s="18"/>
    </row>
    <row r="69" spans="1:37" s="81" customFormat="1" ht="12" customHeight="1" x14ac:dyDescent="0.15">
      <c r="A69" s="73">
        <v>5500</v>
      </c>
      <c r="B69" s="74" t="s">
        <v>38</v>
      </c>
      <c r="C69" s="75" t="s">
        <v>39</v>
      </c>
      <c r="D69" s="76"/>
      <c r="E69" s="76"/>
      <c r="F69" s="77" t="s">
        <v>81</v>
      </c>
      <c r="G69" s="77"/>
      <c r="H69" s="77"/>
      <c r="I69" s="78"/>
      <c r="J69" s="77"/>
      <c r="K69" s="77"/>
      <c r="L69" s="78"/>
      <c r="M69" s="78"/>
      <c r="N69" s="78"/>
      <c r="O69" s="78"/>
      <c r="P69" s="78"/>
      <c r="Q69" s="77"/>
      <c r="R69" s="78"/>
      <c r="S69" s="78"/>
      <c r="T69" s="78"/>
      <c r="U69" s="78"/>
      <c r="V69" s="77"/>
      <c r="W69" s="78"/>
      <c r="X69" s="78"/>
      <c r="Y69" s="78"/>
      <c r="Z69" s="78"/>
      <c r="AA69" s="78"/>
      <c r="AB69" s="78"/>
      <c r="AC69" s="78"/>
      <c r="AD69" s="78"/>
      <c r="AE69" s="51"/>
      <c r="AF69" s="79"/>
      <c r="AG69" s="79"/>
      <c r="AH69" s="79"/>
      <c r="AI69" s="79"/>
      <c r="AJ69" s="79"/>
      <c r="AK69" s="80">
        <f t="shared" si="4"/>
        <v>0</v>
      </c>
    </row>
    <row r="70" spans="1:37" s="81" customFormat="1" ht="12" customHeight="1" x14ac:dyDescent="0.15">
      <c r="A70" s="73" t="s">
        <v>21</v>
      </c>
      <c r="B70" s="74" t="s">
        <v>57</v>
      </c>
      <c r="C70" s="75"/>
      <c r="D70" s="76"/>
      <c r="E70" s="76">
        <v>44</v>
      </c>
      <c r="F70" s="77" t="s">
        <v>81</v>
      </c>
      <c r="G70" s="77"/>
      <c r="H70" s="77"/>
      <c r="I70" s="78"/>
      <c r="J70" s="77"/>
      <c r="K70" s="77"/>
      <c r="L70" s="78"/>
      <c r="M70" s="78"/>
      <c r="N70" s="78"/>
      <c r="O70" s="78"/>
      <c r="P70" s="78"/>
      <c r="Q70" s="77"/>
      <c r="R70" s="78"/>
      <c r="S70" s="78"/>
      <c r="T70" s="78"/>
      <c r="U70" s="78"/>
      <c r="V70" s="77"/>
      <c r="W70" s="78"/>
      <c r="X70" s="78"/>
      <c r="Y70" s="78"/>
      <c r="Z70" s="78">
        <v>24.1</v>
      </c>
      <c r="AA70" s="78"/>
      <c r="AB70" s="78"/>
      <c r="AC70" s="78"/>
      <c r="AD70" s="78"/>
      <c r="AE70" s="51"/>
      <c r="AF70" s="79"/>
      <c r="AG70" s="79"/>
      <c r="AH70" s="79"/>
      <c r="AI70" s="79"/>
      <c r="AJ70" s="79"/>
      <c r="AK70" s="80">
        <f t="shared" si="4"/>
        <v>68.099999999999994</v>
      </c>
    </row>
    <row r="71" spans="1:37" ht="12" customHeight="1" x14ac:dyDescent="0.15">
      <c r="A71" s="67"/>
      <c r="B71" s="13"/>
      <c r="C71" s="5"/>
      <c r="D71" s="41"/>
      <c r="E71" s="41"/>
      <c r="F71" s="31"/>
      <c r="G71" s="31"/>
      <c r="H71" s="31"/>
      <c r="I71" s="30"/>
      <c r="J71" s="31"/>
      <c r="K71" s="31"/>
      <c r="L71" s="30"/>
      <c r="M71" s="30"/>
      <c r="N71" s="30"/>
      <c r="O71" s="30"/>
      <c r="P71" s="30"/>
      <c r="Q71" s="31"/>
      <c r="R71" s="30"/>
      <c r="S71" s="30"/>
      <c r="T71" s="30"/>
      <c r="U71" s="30"/>
      <c r="V71" s="31"/>
      <c r="W71" s="30"/>
      <c r="X71" s="30"/>
      <c r="Y71" s="30"/>
      <c r="Z71" s="30"/>
      <c r="AA71" s="30"/>
      <c r="AB71" s="30"/>
      <c r="AC71" s="30"/>
      <c r="AD71" s="30"/>
      <c r="AE71" s="51"/>
      <c r="AF71" s="12"/>
      <c r="AG71" s="12"/>
      <c r="AH71" s="12"/>
      <c r="AI71" s="12"/>
      <c r="AJ71" s="12"/>
      <c r="AK71" s="18">
        <f t="shared" si="4"/>
        <v>0</v>
      </c>
    </row>
    <row r="72" spans="1:37" ht="12" customHeight="1" x14ac:dyDescent="0.15">
      <c r="A72" s="67"/>
      <c r="B72" s="13"/>
      <c r="C72" s="5"/>
      <c r="D72" s="41"/>
      <c r="E72" s="41"/>
      <c r="F72" s="31"/>
      <c r="G72" s="31"/>
      <c r="H72" s="31"/>
      <c r="I72" s="30"/>
      <c r="J72" s="31"/>
      <c r="K72" s="31"/>
      <c r="L72" s="30"/>
      <c r="M72" s="30"/>
      <c r="N72" s="30"/>
      <c r="O72" s="30"/>
      <c r="P72" s="30"/>
      <c r="Q72" s="31"/>
      <c r="R72" s="30"/>
      <c r="S72" s="30"/>
      <c r="T72" s="30"/>
      <c r="U72" s="30"/>
      <c r="V72" s="31"/>
      <c r="W72" s="30"/>
      <c r="X72" s="30"/>
      <c r="Y72" s="30"/>
      <c r="Z72" s="30"/>
      <c r="AA72" s="30"/>
      <c r="AB72" s="30"/>
      <c r="AC72" s="30"/>
      <c r="AD72" s="30"/>
      <c r="AE72" s="51"/>
      <c r="AF72" s="12"/>
      <c r="AG72" s="12"/>
      <c r="AH72" s="12"/>
      <c r="AI72" s="12"/>
      <c r="AJ72" s="12"/>
      <c r="AK72" s="18">
        <f t="shared" si="4"/>
        <v>0</v>
      </c>
    </row>
    <row r="73" spans="1:37" ht="12" customHeight="1" x14ac:dyDescent="0.15">
      <c r="A73" s="67">
        <v>5700</v>
      </c>
      <c r="B73" s="13" t="s">
        <v>40</v>
      </c>
      <c r="C73" s="5" t="s">
        <v>41</v>
      </c>
      <c r="D73" s="41"/>
      <c r="E73" s="41"/>
      <c r="F73" s="31" t="s">
        <v>81</v>
      </c>
      <c r="G73" s="31"/>
      <c r="H73" s="31"/>
      <c r="I73" s="30"/>
      <c r="J73" s="31"/>
      <c r="K73" s="31"/>
      <c r="L73" s="30"/>
      <c r="M73" s="30"/>
      <c r="N73" s="30"/>
      <c r="O73" s="30"/>
      <c r="P73" s="30"/>
      <c r="Q73" s="31"/>
      <c r="R73" s="30"/>
      <c r="S73" s="30"/>
      <c r="T73" s="30"/>
      <c r="U73" s="30"/>
      <c r="V73" s="31"/>
      <c r="W73" s="30"/>
      <c r="X73" s="30"/>
      <c r="Y73" s="30"/>
      <c r="Z73" s="30"/>
      <c r="AA73" s="30"/>
      <c r="AB73" s="30"/>
      <c r="AC73" s="30"/>
      <c r="AD73" s="30"/>
      <c r="AE73" s="51"/>
      <c r="AF73" s="12"/>
      <c r="AG73" s="12"/>
      <c r="AH73" s="12"/>
      <c r="AI73" s="12"/>
      <c r="AJ73" s="12"/>
      <c r="AK73" s="18">
        <f t="shared" si="4"/>
        <v>0</v>
      </c>
    </row>
    <row r="74" spans="1:37" ht="12" customHeight="1" x14ac:dyDescent="0.15">
      <c r="A74" s="67" t="s">
        <v>21</v>
      </c>
      <c r="B74" s="13" t="s">
        <v>58</v>
      </c>
      <c r="C74" s="5"/>
      <c r="D74" s="41"/>
      <c r="E74" s="41">
        <v>18</v>
      </c>
      <c r="F74" s="31" t="s">
        <v>81</v>
      </c>
      <c r="G74" s="31"/>
      <c r="H74" s="31"/>
      <c r="I74" s="30"/>
      <c r="J74" s="31"/>
      <c r="K74" s="31"/>
      <c r="L74" s="30"/>
      <c r="M74" s="30"/>
      <c r="N74" s="30"/>
      <c r="O74" s="30"/>
      <c r="P74" s="30"/>
      <c r="Q74" s="31"/>
      <c r="R74" s="30"/>
      <c r="S74" s="30"/>
      <c r="T74" s="30"/>
      <c r="U74" s="30"/>
      <c r="V74" s="31"/>
      <c r="W74" s="30"/>
      <c r="X74" s="30"/>
      <c r="Y74" s="30"/>
      <c r="Z74" s="30"/>
      <c r="AA74" s="30"/>
      <c r="AB74" s="30"/>
      <c r="AC74" s="30"/>
      <c r="AD74" s="30"/>
      <c r="AE74" s="51"/>
      <c r="AF74" s="12"/>
      <c r="AG74" s="12"/>
      <c r="AH74" s="12"/>
      <c r="AI74" s="30">
        <v>0.3</v>
      </c>
      <c r="AJ74" s="12"/>
      <c r="AK74" s="18">
        <f t="shared" si="4"/>
        <v>18.3</v>
      </c>
    </row>
    <row r="75" spans="1:37" ht="12" customHeight="1" x14ac:dyDescent="0.15">
      <c r="A75" s="67" t="s">
        <v>22</v>
      </c>
      <c r="B75" s="13" t="s">
        <v>59</v>
      </c>
      <c r="C75" s="5"/>
      <c r="D75" s="41"/>
      <c r="E75" s="41">
        <v>18</v>
      </c>
      <c r="F75" s="31" t="s">
        <v>81</v>
      </c>
      <c r="G75" s="31"/>
      <c r="H75" s="31"/>
      <c r="I75" s="30"/>
      <c r="J75" s="31"/>
      <c r="K75" s="31"/>
      <c r="L75" s="30"/>
      <c r="M75" s="30"/>
      <c r="N75" s="30"/>
      <c r="O75" s="30"/>
      <c r="P75" s="30"/>
      <c r="Q75" s="31"/>
      <c r="R75" s="30"/>
      <c r="S75" s="30"/>
      <c r="T75" s="30">
        <v>0.4</v>
      </c>
      <c r="U75" s="30"/>
      <c r="V75" s="31"/>
      <c r="W75" s="30"/>
      <c r="X75" s="30"/>
      <c r="Y75" s="30"/>
      <c r="Z75" s="30"/>
      <c r="AA75" s="30"/>
      <c r="AB75" s="30"/>
      <c r="AC75" s="30"/>
      <c r="AD75" s="30"/>
      <c r="AE75" s="51"/>
      <c r="AF75" s="12"/>
      <c r="AG75" s="12"/>
      <c r="AH75" s="12"/>
      <c r="AI75" s="12"/>
      <c r="AJ75" s="12"/>
      <c r="AK75" s="18">
        <f t="shared" si="4"/>
        <v>18.399999999999999</v>
      </c>
    </row>
    <row r="76" spans="1:37" ht="12" customHeight="1" x14ac:dyDescent="0.15">
      <c r="A76" s="67"/>
      <c r="B76" s="13"/>
      <c r="C76" s="5"/>
      <c r="D76" s="41"/>
      <c r="E76" s="41"/>
      <c r="F76" s="31"/>
      <c r="G76" s="31"/>
      <c r="H76" s="31"/>
      <c r="I76" s="30"/>
      <c r="J76" s="31"/>
      <c r="K76" s="31"/>
      <c r="L76" s="30"/>
      <c r="M76" s="30"/>
      <c r="N76" s="30"/>
      <c r="O76" s="30"/>
      <c r="P76" s="30"/>
      <c r="Q76" s="31"/>
      <c r="R76" s="30"/>
      <c r="S76" s="30"/>
      <c r="T76" s="30"/>
      <c r="U76" s="30"/>
      <c r="V76" s="31"/>
      <c r="W76" s="30"/>
      <c r="X76" s="30"/>
      <c r="Y76" s="30"/>
      <c r="Z76" s="30"/>
      <c r="AA76" s="30"/>
      <c r="AB76" s="30"/>
      <c r="AC76" s="30"/>
      <c r="AD76" s="30"/>
      <c r="AE76" s="51"/>
      <c r="AF76" s="12"/>
      <c r="AG76" s="12"/>
      <c r="AH76" s="12"/>
      <c r="AI76" s="12"/>
      <c r="AJ76" s="12"/>
      <c r="AK76" s="18">
        <f t="shared" si="4"/>
        <v>0</v>
      </c>
    </row>
    <row r="77" spans="1:37" ht="12" customHeight="1" x14ac:dyDescent="0.15">
      <c r="A77" s="67"/>
      <c r="B77" s="13"/>
      <c r="C77" s="5"/>
      <c r="D77" s="41"/>
      <c r="E77" s="41"/>
      <c r="F77" s="31"/>
      <c r="G77" s="30"/>
      <c r="H77" s="31"/>
      <c r="I77" s="31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51"/>
      <c r="AF77" s="12"/>
      <c r="AG77" s="12"/>
      <c r="AH77" s="12"/>
      <c r="AI77" s="12"/>
      <c r="AJ77" s="12"/>
      <c r="AK77" s="18">
        <f t="shared" si="4"/>
        <v>0</v>
      </c>
    </row>
    <row r="78" spans="1:37" ht="12" customHeight="1" x14ac:dyDescent="0.15">
      <c r="A78" s="67"/>
      <c r="B78" s="13"/>
      <c r="C78" s="5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52"/>
      <c r="AF78" s="14"/>
      <c r="AG78" s="14"/>
      <c r="AH78" s="14"/>
      <c r="AI78" s="14"/>
      <c r="AJ78" s="14"/>
      <c r="AK78" s="18">
        <f t="shared" si="4"/>
        <v>0</v>
      </c>
    </row>
    <row r="79" spans="1:37" ht="12" customHeight="1" x14ac:dyDescent="0.15">
      <c r="A79" s="25"/>
      <c r="B79" s="26"/>
      <c r="C79" s="64" t="s">
        <v>11</v>
      </c>
      <c r="D79" s="69">
        <f t="shared" ref="D79" si="5">SUM(D13:D78)</f>
        <v>0</v>
      </c>
      <c r="E79" s="69"/>
      <c r="F79" s="42"/>
      <c r="G79" s="42" cm="1">
        <f t="array" ref="G79">+SUM(E13:E78*G13:G78)</f>
        <v>0</v>
      </c>
      <c r="H79" s="42" cm="1">
        <f t="array" ref="H79">+SUM($E13:$E78*H13:H78)</f>
        <v>0</v>
      </c>
      <c r="I79" s="42" cm="1">
        <f t="array" ref="I79">+SUM($E13:$E78*I13:I78)</f>
        <v>922</v>
      </c>
      <c r="J79" s="42" cm="1">
        <f t="array" ref="J79">+SUM($E13:$E78*J13:J78)</f>
        <v>2385.3000000000002</v>
      </c>
      <c r="K79" s="42" cm="1">
        <f t="array" ref="K79">+SUM($E13:$E78*K13:K78)</f>
        <v>163.19999999999999</v>
      </c>
      <c r="L79" s="42" cm="1">
        <f t="array" ref="L79">+SUM($E13:$E78*L13:L78)</f>
        <v>29.700000000000003</v>
      </c>
      <c r="M79" s="42" cm="1">
        <f t="array" ref="M79">+SUM($E13:$E78*M13:M78)</f>
        <v>142.4</v>
      </c>
      <c r="N79" s="42" cm="1">
        <f t="array" ref="N79">+SUM($E13:$E78*N13:N78)</f>
        <v>554.59999999999991</v>
      </c>
      <c r="O79" s="42"/>
      <c r="P79" s="42" cm="1">
        <f t="array" ref="P79">+SUM($E13:$E78*P13:P78)</f>
        <v>604.79999999999995</v>
      </c>
      <c r="Q79" s="42" cm="1">
        <f t="array" ref="Q79">+SUM($E13:$E78*Q13:Q78)</f>
        <v>88.6</v>
      </c>
      <c r="R79" s="42" cm="1">
        <f t="array" ref="R79">+SUM($E13:$E78*R13:R78)</f>
        <v>3.2</v>
      </c>
      <c r="S79" s="42" cm="1">
        <f t="array" ref="S79">+SUM($E13:$E78*S13:S78)</f>
        <v>4</v>
      </c>
      <c r="T79" s="42" cm="1">
        <f t="array" ref="T79">+SUM($E13:$E78*T13:T78)</f>
        <v>29.2</v>
      </c>
      <c r="U79" s="42" cm="1">
        <f t="array" ref="U79">+SUM($E13:$E78*U13:U78)</f>
        <v>0</v>
      </c>
      <c r="V79" s="42" cm="1">
        <f t="array" ref="V79">+SUM($E13:$E78*V13:V78)</f>
        <v>1.6</v>
      </c>
      <c r="W79" s="42" cm="1">
        <f t="array" ref="W79">+SUM($E13:$E78*W13:W78)</f>
        <v>0</v>
      </c>
      <c r="X79" s="42" cm="1">
        <f t="array" ref="X79">+SUM($E13:$E78*X13:X78)</f>
        <v>27</v>
      </c>
      <c r="Y79" s="42" cm="1">
        <f t="array" ref="Y79">+SUM($E13:$E78*Y13:Y78)</f>
        <v>0</v>
      </c>
      <c r="Z79" s="42" cm="1">
        <f t="array" ref="Z79">+SUM($E13:$E78*Z13:Z78)</f>
        <v>1060.4000000000001</v>
      </c>
      <c r="AA79" s="42"/>
      <c r="AB79" s="42" cm="1">
        <f t="array" ref="AB79">+SUM($E13:$E78*AB13:AB78)</f>
        <v>270</v>
      </c>
      <c r="AC79" s="42" cm="1">
        <f t="array" ref="AC79">+SUM($E13:$E78*AC13:AC78)</f>
        <v>0</v>
      </c>
      <c r="AD79" s="42" cm="1">
        <f t="array" ref="AD79">+SUM($E13:$E78*AD13:AD78)</f>
        <v>0</v>
      </c>
      <c r="AE79" s="42" cm="1">
        <f t="array" ref="AE79">+SUM($E13:$E78*AE13:AE78)</f>
        <v>0</v>
      </c>
      <c r="AF79" s="42" cm="1">
        <f t="array" ref="AF79">+SUM($E13:$E78*AF13:AF78)</f>
        <v>0</v>
      </c>
      <c r="AG79" s="42" cm="1">
        <f t="array" ref="AG79">+SUM($E13:$E78*AG13:AG78)</f>
        <v>8.4</v>
      </c>
      <c r="AH79" s="42" cm="1">
        <f t="array" ref="AH79">+SUM($E13:$E78*AH13:AH78)</f>
        <v>105.6</v>
      </c>
      <c r="AI79" s="42" cm="1">
        <f t="array" ref="AI79">+SUM($E13:$E78*AI13:AI78)</f>
        <v>5.3999999999999995</v>
      </c>
      <c r="AJ79" s="42" cm="1">
        <f t="array" ref="AJ79">+SUM($E13:$E78*AJ13:AJ78)</f>
        <v>10.799999999999999</v>
      </c>
      <c r="AK79" s="18">
        <f t="shared" si="4"/>
        <v>6416.2</v>
      </c>
    </row>
    <row r="80" spans="1:37" ht="12" customHeight="1" x14ac:dyDescent="0.2">
      <c r="A80" s="15" t="s">
        <v>7</v>
      </c>
      <c r="B80" s="15"/>
      <c r="C80" s="65"/>
      <c r="D80" s="22"/>
      <c r="E80" s="22"/>
      <c r="F80" s="22"/>
      <c r="G80" s="20"/>
      <c r="H80" s="22"/>
      <c r="I80" s="43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53"/>
      <c r="AF80" s="20"/>
      <c r="AG80" s="20"/>
      <c r="AH80" s="20"/>
      <c r="AI80" s="20"/>
      <c r="AJ80" s="20"/>
    </row>
    <row r="81" spans="1:36" ht="12" customHeight="1" x14ac:dyDescent="0.2">
      <c r="A81" s="15"/>
      <c r="B81" s="16" t="s">
        <v>8</v>
      </c>
      <c r="C81" s="66"/>
      <c r="D81" s="17"/>
      <c r="E81" s="17"/>
      <c r="F81" s="17"/>
      <c r="G81" s="17"/>
      <c r="H81" s="17"/>
      <c r="I81" s="44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54"/>
      <c r="AF81" s="20"/>
      <c r="AG81" s="20"/>
      <c r="AH81" s="20"/>
      <c r="AI81" s="20"/>
      <c r="AJ81" s="20"/>
    </row>
    <row r="82" spans="1:36" ht="12" customHeight="1" x14ac:dyDescent="0.2">
      <c r="A82" s="15"/>
      <c r="B82" s="16" t="s">
        <v>9</v>
      </c>
      <c r="C82" s="65"/>
      <c r="D82" s="22"/>
      <c r="E82" s="22"/>
      <c r="F82" s="22"/>
      <c r="G82" s="20"/>
      <c r="H82" s="22"/>
      <c r="I82" s="43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53"/>
      <c r="AF82" s="20"/>
      <c r="AG82" s="20"/>
      <c r="AH82" s="20"/>
      <c r="AI82" s="20"/>
      <c r="AJ82" s="20"/>
    </row>
  </sheetData>
  <conditionalFormatting sqref="T76:T78 AI75:AI78 AB70 AJ77:XFD78 AD60:AE60 AD61:AF66 AC12:AC17 AD10:XFD17 Y23:XFD24 C23:C24 E23:W24 Y28:AA28 C28:D29 A23:A25 AJ50:AJ58 S50:S54 R50:R57 AD50:AF59 Y50:AC66 Y67:AF69 T50:W69 AG50:AI69 A50:A69 U72:AH78 A71:Q78 A79:XFD79 B36:XFD43 Y29:AB29 AC28:XFD29 G28:X29 A30:XFD35 A44:XFD47 V71:W71 Y71:AB71 AC70:AH71 X50:X71 S56:S78 R59:R78 AK50:XFD76 U70:U71 T70:T74 AJ61:AJ76 AI70:AI73 B50:Q70 Y10:AB17 A10:W17">
    <cfRule type="expression" dxfId="32" priority="30">
      <formula>OR(COLUMN(A10)=CELL("col"),ROW(A10)=CELL("row"))</formula>
    </cfRule>
  </conditionalFormatting>
  <conditionalFormatting sqref="A70 V70:W70 Y70">
    <cfRule type="expression" dxfId="31" priority="29">
      <formula>OR(COLUMN(A70)=CELL("col"),ROW(A70)=CELL("row"))</formula>
    </cfRule>
  </conditionalFormatting>
  <conditionalFormatting sqref="T75">
    <cfRule type="expression" dxfId="30" priority="28">
      <formula>OR(COLUMN(T75)=CELL("col"),ROW(T75)=CELL("row"))</formula>
    </cfRule>
  </conditionalFormatting>
  <conditionalFormatting sqref="Z70:AA70">
    <cfRule type="expression" dxfId="29" priority="27">
      <formula>OR(COLUMN(Z70)=CELL("col"),ROW(Z70)=CELL("row"))</formula>
    </cfRule>
  </conditionalFormatting>
  <conditionalFormatting sqref="AC10:AC11">
    <cfRule type="expression" dxfId="28" priority="26">
      <formula>OR(COLUMN(AC10)=CELL("col"),ROW(AC10)=CELL("row"))</formula>
    </cfRule>
  </conditionalFormatting>
  <conditionalFormatting sqref="X12:X17 X23:X24">
    <cfRule type="expression" dxfId="27" priority="25">
      <formula>OR(COLUMN(X12)=CELL("col"),ROW(X12)=CELL("row"))</formula>
    </cfRule>
  </conditionalFormatting>
  <conditionalFormatting sqref="X10:X11">
    <cfRule type="expression" dxfId="26" priority="24">
      <formula>OR(COLUMN(X10)=CELL("col"),ROW(X10)=CELL("row"))</formula>
    </cfRule>
  </conditionalFormatting>
  <conditionalFormatting sqref="AB28">
    <cfRule type="expression" dxfId="25" priority="23">
      <formula>OR(COLUMN(AB28)=CELL("col"),ROW(AB28)=CELL("row"))</formula>
    </cfRule>
  </conditionalFormatting>
  <conditionalFormatting sqref="AJ60">
    <cfRule type="expression" dxfId="24" priority="22">
      <formula>OR(COLUMN(AJ60)=CELL("col"),ROW(AJ60)=CELL("row"))</formula>
    </cfRule>
  </conditionalFormatting>
  <conditionalFormatting sqref="AJ59">
    <cfRule type="expression" dxfId="23" priority="21">
      <formula>OR(COLUMN(AJ59)=CELL("col"),ROW(AJ59)=CELL("row"))</formula>
    </cfRule>
  </conditionalFormatting>
  <conditionalFormatting sqref="AF60">
    <cfRule type="expression" dxfId="22" priority="20">
      <formula>OR(COLUMN(AF60)=CELL("col"),ROW(AF60)=CELL("row"))</formula>
    </cfRule>
  </conditionalFormatting>
  <conditionalFormatting sqref="AI74">
    <cfRule type="expression" dxfId="21" priority="19">
      <formula>OR(COLUMN(AI74)=CELL("col"),ROW(AI74)=CELL("row"))</formula>
    </cfRule>
  </conditionalFormatting>
  <conditionalFormatting sqref="S55">
    <cfRule type="expression" dxfId="20" priority="18">
      <formula>OR(COLUMN(S55)=CELL("col"),ROW(S55)=CELL("row"))</formula>
    </cfRule>
  </conditionalFormatting>
  <conditionalFormatting sqref="R58">
    <cfRule type="expression" dxfId="19" priority="17">
      <formula>OR(COLUMN(R58)=CELL("col"),ROW(R58)=CELL("row"))</formula>
    </cfRule>
  </conditionalFormatting>
  <conditionalFormatting sqref="Y18:XFD22 A18:W22">
    <cfRule type="expression" dxfId="18" priority="16">
      <formula>OR(COLUMN(A18)=CELL("col"),ROW(A18)=CELL("row"))</formula>
    </cfRule>
  </conditionalFormatting>
  <conditionalFormatting sqref="X18:X22">
    <cfRule type="expression" dxfId="17" priority="15">
      <formula>OR(COLUMN(X18)=CELL("col"),ROW(X18)=CELL("row"))</formula>
    </cfRule>
  </conditionalFormatting>
  <conditionalFormatting sqref="B23">
    <cfRule type="expression" dxfId="16" priority="14">
      <formula>OR(COLUMN(B23)=CELL("col"),ROW(B23)=CELL("row"))</formula>
    </cfRule>
  </conditionalFormatting>
  <conditionalFormatting sqref="B24">
    <cfRule type="expression" dxfId="15" priority="13">
      <formula>OR(COLUMN(B24)=CELL("col"),ROW(B24)=CELL("row"))</formula>
    </cfRule>
  </conditionalFormatting>
  <conditionalFormatting sqref="D23">
    <cfRule type="expression" dxfId="14" priority="12">
      <formula>OR(COLUMN(D23)=CELL("col"),ROW(D23)=CELL("row"))</formula>
    </cfRule>
  </conditionalFormatting>
  <conditionalFormatting sqref="D24">
    <cfRule type="expression" dxfId="13" priority="11">
      <formula>OR(COLUMN(D24)=CELL("col"),ROW(D24)=CELL("row"))</formula>
    </cfRule>
  </conditionalFormatting>
  <conditionalFormatting sqref="B28:B29 A25:B25 E25:XFD25 B26:XFD27 E28:F29">
    <cfRule type="expression" dxfId="12" priority="10">
      <formula>OR(COLUMN(A25)=CELL("col"),ROW(A25)=CELL("row"))</formula>
    </cfRule>
  </conditionalFormatting>
  <conditionalFormatting sqref="C25:D25">
    <cfRule type="expression" dxfId="11" priority="9">
      <formula>OR(COLUMN(C25)=CELL("col"),ROW(C25)=CELL("row"))</formula>
    </cfRule>
  </conditionalFormatting>
  <conditionalFormatting sqref="A26:A29">
    <cfRule type="expression" dxfId="10" priority="8">
      <formula>OR(COLUMN(A26)=CELL("col"),ROW(A26)=CELL("row"))</formula>
    </cfRule>
  </conditionalFormatting>
  <conditionalFormatting sqref="A37">
    <cfRule type="expression" dxfId="9" priority="7">
      <formula>OR(COLUMN(A37)=CELL("col"),ROW(A37)=CELL("row"))</formula>
    </cfRule>
  </conditionalFormatting>
  <conditionalFormatting sqref="A36">
    <cfRule type="expression" dxfId="8" priority="6">
      <formula>OR(COLUMN(A36)=CELL("col"),ROW(A36)=CELL("row"))</formula>
    </cfRule>
  </conditionalFormatting>
  <conditionalFormatting sqref="A39">
    <cfRule type="expression" dxfId="7" priority="5">
      <formula>OR(COLUMN(A39)=CELL("col"),ROW(A39)=CELL("row"))</formula>
    </cfRule>
  </conditionalFormatting>
  <conditionalFormatting sqref="A40:A41">
    <cfRule type="expression" dxfId="6" priority="4">
      <formula>OR(COLUMN(A40)=CELL("col"),ROW(A40)=CELL("row"))</formula>
    </cfRule>
  </conditionalFormatting>
  <conditionalFormatting sqref="A49">
    <cfRule type="expression" dxfId="5" priority="3">
      <formula>OR(COLUMN(A49)=CELL("col"),ROW(A49)=CELL("row"))</formula>
    </cfRule>
  </conditionalFormatting>
  <conditionalFormatting sqref="A42">
    <cfRule type="expression" dxfId="4" priority="2">
      <formula>OR(COLUMN(A42)=CELL("col"),ROW(A42)=CELL("row"))</formula>
    </cfRule>
  </conditionalFormatting>
  <conditionalFormatting sqref="A43">
    <cfRule type="expression" dxfId="3" priority="1">
      <formula>OR(COLUMN(A43)=CELL("col"),ROW(A43)=CELL("row"))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piirluet</vt:lpstr>
      <vt:lpstr>Sheet1</vt:lpstr>
      <vt:lpstr>piirluet!Print_Area</vt:lpstr>
      <vt:lpstr>piirluet!Print_Titles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KMYT</dc:creator>
  <cp:lastModifiedBy>dts1</cp:lastModifiedBy>
  <cp:lastPrinted>2012-02-09T05:16:50Z</cp:lastPrinted>
  <dcterms:created xsi:type="dcterms:W3CDTF">1998-01-15T14:09:26Z</dcterms:created>
  <dcterms:modified xsi:type="dcterms:W3CDTF">2026-01-20T08:39:00Z</dcterms:modified>
</cp:coreProperties>
</file>